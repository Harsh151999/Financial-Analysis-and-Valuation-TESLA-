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8fd770bde43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7de6f5fb724cef"/>
    <x:sheet xmlns:r="http://schemas.openxmlformats.org/officeDocument/2006/relationships" name="Assumptions" sheetId="2" r:id="R56f7dfa986ba4177"/>
    <x:sheet xmlns:r="http://schemas.openxmlformats.org/officeDocument/2006/relationships" name="DCF" sheetId="3" r:id="R12825a729df54cb4"/>
    <x:sheet xmlns:r="http://schemas.openxmlformats.org/officeDocument/2006/relationships" name="Historical" sheetId="4" r:id="Ra9c5c3ad1e824ded"/>
    <x:sheet xmlns:r="http://schemas.openxmlformats.org/officeDocument/2006/relationships" name="Reference" sheetId="5" r:id="R013131cb05e74a98"/>
    <x:sheet xmlns:r="http://schemas.openxmlformats.org/officeDocument/2006/relationships" name="Source" sheetId="6" r:id="R1b2d56202c0e4b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">
    <x:numFmt numFmtId="200" formatCode="#,##0.0;(#,##0.0);&quot;–&quot;"/>
    <x:numFmt numFmtId="201" formatCode="0"/>
    <x:numFmt numFmtId="202" formatCode="0.00"/>
    <x:numFmt numFmtId="203" formatCode="&quot;$&quot;#,##0.0;(&quot;$&quot;#,##0.0);&quot;–&quot;"/>
    <x:numFmt numFmtId="204" formatCode="0.0%;(0.0%);&quot;–&quot;"/>
    <x:numFmt numFmtId="205" formatCode="0.0"/>
    <x:numFmt numFmtId="206" formatCode="0.00&quot;x&quot;"/>
    <x:numFmt numFmtId="207" formatCode="&quot;$&quot;0.00;(&quot;$&quot;0.00);&quot;–&quot;"/>
    <x:numFmt numFmtId="208" formatCode="#,##0"/>
    <x:numFmt numFmtId="209" formatCode="&quot;$&quot;#,##0"/>
    <x:numFmt numFmtId="210" formatCode="0.00%"/>
    <x:numFmt numFmtId="211" formatCode="0.00;(0.00);0.00"/>
    <x:numFmt numFmtId="212" formatCode="&quot;Year &quot;0"/>
    <x:numFmt numFmtId="213" formatCode="0.000"/>
    <x:numFmt numFmtId="214" formatCode="General"/>
    <x:numFmt numFmtId="215" formatCode="0.00000%"/>
  </x:numFmts>
  <x:fonts count="17">
    <x:font>
      <x:sz val="11"/>
      <x:name val="Carlito"/>
    </x:font>
    <x:font>
      <x:sz val="10"/>
      <x:color rgb="FF17212B"/>
      <x:name val="Arial"/>
    </x:font>
    <x:font>
      <x:b/>
      <x:sz val="16"/>
      <x:color rgb="FF17354B"/>
      <x:name val="Arial"/>
    </x:font>
    <x:font>
      <x:sz val="10"/>
      <x:color rgb="FF008000"/>
      <x:name val="Arial"/>
    </x:font>
    <x:font>
      <x:i/>
      <x:sz val="10"/>
      <x:color rgb="FF17212B"/>
      <x:name val="Arial"/>
    </x:font>
    <x:font>
      <x:i/>
      <x:sz val="10"/>
      <x:color rgb="FF53626D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17212B"/>
      <x:name val="Arial"/>
    </x:font>
    <x:font>
      <x:b/>
      <x:sz val="10"/>
      <x:color rgb="FF000000"/>
      <x:name val="Arial"/>
    </x:font>
    <x:font>
      <x:i/>
      <x:sz val="10"/>
      <x:color rgb="FF000000"/>
      <x:name val="Arial"/>
    </x:font>
    <x:font>
      <x:b/>
      <x:i/>
      <x:sz val="10"/>
      <x:color rgb="FF17212B"/>
      <x:name val="Arial"/>
    </x:font>
    <x:font>
      <x:b/>
      <x:i/>
      <x:sz val="10"/>
      <x:color rgb="FF000000"/>
      <x:name val="Arial"/>
    </x:font>
    <x:font>
      <x:i/>
      <x:sz val="10"/>
      <x:color rgb="FF008000"/>
      <x:name val="Arial"/>
    </x:font>
    <x:font>
      <x:b/>
      <x:sz val="10"/>
      <x:color rgb="FF008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54B"/>
      </x:patternFill>
    </x:fill>
    <x:fill>
      <x:patternFill patternType="solid">
        <x:fgColor rgb="FFFFF2CC"/>
      </x:patternFill>
    </x:fill>
    <x:fill>
      <x:patternFill patternType="solid">
        <x:fgColor rgb="FFEAF1F5"/>
      </x:patternFill>
    </x:fill>
    <x:fill>
      <x:patternFill patternType="solid">
        <x:fgColor rgb="FFDDEAF2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17354B"/>
      </x:bottom>
      <x:diagonal/>
    </x:border>
    <x:border>
      <x:left style="dashed">
        <x:color rgb="FF8EA5B7"/>
      </x:left>
      <x:right style="dashed">
        <x:color rgb="FF8EA5B7"/>
      </x:right>
      <x:top style="dashed">
        <x:color rgb="FF8EA5B7"/>
      </x:top>
      <x:bottom style="dashed">
        <x:color rgb="FF8EA5B7"/>
      </x:bottom>
      <x:diagonal/>
    </x:border>
    <x:border>
      <x:left/>
      <x:right/>
      <x:top/>
      <x:bottom style="thin">
        <x:color rgb="FFC6D3DD"/>
      </x:bottom>
      <x:diagonal/>
    </x:border>
    <x:border>
      <x:left/>
      <x:right/>
      <x:top style="thin">
        <x:color rgb="FF92A8B8"/>
      </x:top>
      <x:bottom/>
      <x:diagonal/>
    </x:border>
  </x:borders>
  <x:cellStyleXfs count="1">
    <x:xf numFmtId="0" fontId="0" fillId="0" borderId="0"/>
  </x:cellStyleXfs>
  <x:cellXfs count="1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center" vertical="center"/>
    </x:xf>
    <x:xf numFmtId="200" fontId="7" fillId="2" borderId="0" xfId="0" applyNumberFormat="1" applyFont="1" applyFill="1" applyBorder="1" applyAlignment="1">
      <x:alignment horizontal="center" vertical="center"/>
    </x:xf>
    <x:xf numFmtId="201" fontId="7" fillId="2" borderId="0" xfId="0" applyNumberFormat="1" applyFont="1" applyFill="1" applyBorder="1" applyAlignment="1">
      <x:alignment horizontal="center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201" fontId="8" fillId="3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10" fillId="4" borderId="0" xfId="0" applyNumberFormat="1" applyFont="1" applyFill="1" applyBorder="1" applyAlignment="1">
      <x:alignment horizontal="left" vertical="center"/>
    </x:xf>
    <x:xf numFmtId="0" fontId="10" fillId="4" borderId="0" xfId="0" applyNumberFormat="1" applyFont="1" applyFill="1" applyBorder="1" applyAlignment="1">
      <x:alignment vertical="center"/>
    </x:xf>
    <x:xf numFmtId="200" fontId="10" fillId="4" borderId="0" xfId="0" applyNumberFormat="1" applyFont="1" applyFill="1" applyBorder="1" applyAlignment="1">
      <x:alignment horizontal="right" vertical="center"/>
    </x:xf>
    <x:xf numFmtId="0" fontId="10" fillId="4" borderId="3" xfId="0" applyNumberFormat="1" applyFont="1" applyFill="1" applyBorder="1" applyAlignment="1">
      <x:alignment horizontal="left" vertical="center"/>
    </x:xf>
    <x:xf numFmtId="0" fontId="10" fillId="4" borderId="3" xfId="0" applyNumberFormat="1" applyFont="1" applyFill="1" applyBorder="1" applyAlignment="1">
      <x:alignment vertical="center"/>
    </x:xf>
    <x:xf numFmtId="200" fontId="10" fillId="4" borderId="3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0" fillId="5" borderId="0" xfId="0" applyNumberFormat="1" applyFont="1" applyFill="1" applyBorder="1" applyAlignment="1">
      <x:alignment horizontal="left"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0" fontId="11" fillId="5" borderId="0" xfId="0" applyNumberFormat="1" applyFont="1" applyFill="1" applyBorder="1" applyAlignment="1">
      <x:alignment horizontal="right" vertical="center"/>
    </x:xf>
    <x:xf numFmtId="203" fontId="11" fillId="5" borderId="0" xfId="0" applyNumberFormat="1" applyFont="1" applyFill="1" applyBorder="1" applyAlignment="1">
      <x:alignment horizontal="right" vertical="center"/>
    </x:xf>
    <x:xf numFmtId="200" fontId="10" fillId="4" borderId="3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204" fontId="11" fillId="5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5" fontId="8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8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7" fontId="8" fillId="0" borderId="0" xfId="0" applyNumberFormat="1" applyFont="1" applyFill="1" applyBorder="1" applyAlignment="1">
      <x:alignment horizontal="right"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8" fontId="8" fillId="0" borderId="0" xfId="0" applyNumberFormat="1" applyFont="1" applyFill="1" applyBorder="1" applyAlignment="1">
      <x:alignment horizontal="right" vertical="center"/>
    </x:xf>
    <x:xf numFmtId="209" fontId="1" fillId="0" borderId="0" xfId="0" applyNumberFormat="1" applyFont="1" applyFill="1" applyBorder="1" applyAlignment="1">
      <x:alignment horizontal="right" vertical="center"/>
    </x:xf>
    <x:xf numFmtId="209" fontId="8" fillId="0" borderId="0" xfId="0" applyNumberFormat="1" applyFont="1" applyFill="1" applyBorder="1" applyAlignment="1">
      <x:alignment horizontal="right" vertical="center"/>
    </x:xf>
    <x:xf numFmtId="210" fontId="11" fillId="5" borderId="0" xfId="0" applyNumberFormat="1" applyFont="1" applyFill="1" applyBorder="1" applyAlignment="1">
      <x:alignment horizontal="right" vertical="center"/>
    </x:xf>
    <x:xf numFmtId="210" fontId="8" fillId="0" borderId="0" xfId="0" applyNumberFormat="1" applyFont="1" applyFill="1" applyBorder="1" applyAlignment="1">
      <x:alignment horizontal="right" vertical="center"/>
    </x:xf>
    <x:xf numFmtId="203" fontId="3" fillId="0" borderId="0" xfId="0" applyNumberFormat="1" applyFont="1" applyFill="1" applyBorder="1" applyAlignment="1">
      <x:alignment horizontal="right" vertical="center"/>
    </x:xf>
    <x:xf numFmtId="204" fontId="9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4" fontId="12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horizontal="right" vertical="center"/>
    </x:xf>
    <x:xf numFmtId="0" fontId="10" fillId="0" borderId="4" xfId="0" applyNumberFormat="1" applyFont="1" applyFill="1" applyBorder="1" applyAlignment="1">
      <x:alignment horizontal="left" vertical="center"/>
    </x:xf>
    <x:xf numFmtId="0" fontId="10" fillId="0" borderId="4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horizontal="right" vertical="center"/>
    </x:xf>
    <x:xf numFmtId="204" fontId="14" fillId="0" borderId="0" xfId="0" applyNumberFormat="1" applyFont="1" applyFill="1" applyBorder="1" applyAlignment="1">
      <x:alignment horizontal="right" vertical="center"/>
    </x:xf>
    <x:xf numFmtId="0" fontId="13" fillId="0" borderId="4" xfId="0" applyNumberFormat="1" applyFont="1" applyFill="1" applyBorder="1" applyAlignment="1">
      <x:alignment horizontal="left" vertical="center"/>
    </x:xf>
    <x:xf numFmtId="0" fontId="13" fillId="0" borderId="4" xfId="0" applyNumberFormat="1" applyFont="1" applyFill="1" applyBorder="1" applyAlignment="1">
      <x:alignment vertical="center"/>
    </x:xf>
    <x:xf numFmtId="200" fontId="13" fillId="0" borderId="4" xfId="0" applyNumberFormat="1" applyFont="1" applyFill="1" applyBorder="1" applyAlignment="1">
      <x:alignment horizontal="right" vertical="center"/>
    </x:xf>
    <x:xf numFmtId="204" fontId="14" fillId="0" borderId="4" xfId="0" applyNumberFormat="1" applyFont="1" applyFill="1" applyBorder="1" applyAlignment="1">
      <x:alignment horizontal="right" vertical="center"/>
    </x:xf>
    <x:xf numFmtId="211" fontId="3" fillId="0" borderId="0" xfId="0" applyNumberFormat="1" applyFont="1" applyFill="1" applyBorder="1" applyAlignment="1">
      <x:alignment horizontal="right" vertical="center"/>
    </x:xf>
    <x:xf numFmtId="211" fontId="1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204" fontId="11" fillId="0" borderId="0" xfId="0" applyNumberFormat="1" applyFont="1" applyFill="1" applyBorder="1" applyAlignment="1">
      <x:alignment vertical="center"/>
    </x:xf>
    <x:xf numFmtId="204" fontId="11" fillId="0" borderId="4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horizontal="center" vertical="center" wrapText="1"/>
    </x:xf>
    <x:xf numFmtId="200" fontId="7" fillId="2" borderId="0" xfId="0" applyNumberFormat="1" applyFont="1" applyFill="1" applyBorder="1" applyAlignment="1">
      <x:alignment horizontal="center" vertical="center" wrapText="1"/>
    </x:xf>
    <x:xf numFmtId="209" fontId="8" fillId="0" borderId="0" xfId="0" applyNumberFormat="1" applyFont="1" applyFill="1" applyBorder="1" applyAlignment="1">
      <x:alignment vertical="center"/>
    </x:xf>
    <x:xf numFmtId="209" fontId="9" fillId="0" borderId="0" xfId="0" applyNumberFormat="1" applyFont="1" applyFill="1" applyBorder="1" applyAlignment="1">
      <x:alignment horizontal="right" vertical="center"/>
    </x:xf>
    <x:xf numFmtId="204" fontId="3" fillId="0" borderId="0" xfId="0" applyNumberFormat="1" applyFont="1" applyFill="1" applyBorder="1" applyAlignment="1">
      <x:alignment horizontal="right" vertical="center"/>
    </x:xf>
    <x:xf numFmtId="212" fontId="7" fillId="2" borderId="0" xfId="0" applyNumberFormat="1" applyFont="1" applyFill="1" applyBorder="1" applyAlignment="1">
      <x:alignment horizontal="center" vertical="center"/>
    </x:xf>
    <x:xf numFmtId="203" fontId="9" fillId="0" borderId="0" xfId="0" applyNumberFormat="1" applyFont="1" applyFill="1" applyBorder="1" applyAlignment="1">
      <x:alignment horizontal="right" vertical="center"/>
    </x:xf>
    <x:xf numFmtId="205" fontId="3" fillId="0" borderId="0" xfId="0" applyNumberFormat="1" applyFont="1" applyFill="1" applyBorder="1" applyAlignment="1">
      <x:alignment horizontal="right" vertical="center"/>
    </x:xf>
    <x:xf numFmtId="213" fontId="9" fillId="0" borderId="0" xfId="0" applyNumberFormat="1" applyFont="1" applyFill="1" applyBorder="1" applyAlignment="1">
      <x:alignment horizontal="right" vertical="center"/>
    </x:xf>
    <x:xf numFmtId="204" fontId="15" fillId="0" borderId="0" xfId="0" applyNumberFormat="1" applyFont="1" applyFill="1" applyBorder="1" applyAlignment="1">
      <x:alignment horizontal="right" vertical="center"/>
    </x:xf>
    <x:xf numFmtId="213" fontId="12" fillId="0" borderId="0" xfId="0" applyNumberFormat="1" applyFont="1" applyFill="1" applyBorder="1" applyAlignment="1">
      <x:alignment horizontal="right" vertical="center"/>
    </x:xf>
    <x:xf numFmtId="203" fontId="11" fillId="0" borderId="0" xfId="0" applyNumberFormat="1" applyFont="1" applyFill="1" applyBorder="1" applyAlignment="1">
      <x:alignment horizontal="right" vertical="center"/>
    </x:xf>
    <x:xf numFmtId="203" fontId="11" fillId="0" borderId="4" xfId="0" applyNumberFormat="1" applyFont="1" applyFill="1" applyBorder="1" applyAlignment="1">
      <x:alignment horizontal="right" vertical="center"/>
    </x:xf>
    <x:xf numFmtId="214" fontId="1" fillId="0" borderId="0" xfId="0" applyNumberFormat="1" applyFont="1" applyFill="1" applyBorder="1" applyAlignment="1">
      <x:alignment horizontal="right" vertical="center"/>
    </x:xf>
    <x:xf numFmtId="214" fontId="1" fillId="0" borderId="0" xfId="0" applyNumberFormat="1" applyFont="1" applyFill="1" applyBorder="1" applyAlignment="1">
      <x:alignment horizontal="left" vertical="center"/>
    </x:xf>
    <x:xf numFmtId="207" fontId="9" fillId="0" borderId="0" xfId="0" applyNumberFormat="1" applyFont="1" applyFill="1" applyBorder="1" applyAlignment="1">
      <x:alignment horizontal="right" vertical="center"/>
    </x:xf>
    <x:xf numFmtId="214" fontId="10" fillId="0" borderId="0" xfId="0" applyNumberFormat="1" applyFont="1" applyFill="1" applyBorder="1" applyAlignment="1">
      <x:alignment horizontal="left" vertical="center"/>
    </x:xf>
    <x:xf numFmtId="214" fontId="10" fillId="0" borderId="0" xfId="0" applyNumberFormat="1" applyFont="1" applyFill="1" applyBorder="1" applyAlignment="1">
      <x:alignment horizontal="right" vertical="center"/>
    </x:xf>
    <x:xf numFmtId="214" fontId="10" fillId="0" borderId="4" xfId="0" applyNumberFormat="1" applyFont="1" applyFill="1" applyBorder="1" applyAlignment="1">
      <x:alignment horizontal="left" vertical="center"/>
    </x:xf>
    <x:xf numFmtId="214" fontId="10" fillId="0" borderId="4" xfId="0" applyNumberFormat="1" applyFont="1" applyFill="1" applyBorder="1" applyAlignment="1">
      <x:alignment horizontal="right" vertical="center"/>
    </x:xf>
    <x:xf numFmtId="207" fontId="11" fillId="0" borderId="0" xfId="0" applyNumberFormat="1" applyFont="1" applyFill="1" applyBorder="1" applyAlignment="1">
      <x:alignment horizontal="right" vertical="center"/>
    </x:xf>
    <x:xf numFmtId="207" fontId="11" fillId="0" borderId="4" xfId="0" applyNumberFormat="1" applyFont="1" applyFill="1" applyBorder="1" applyAlignment="1">
      <x:alignment horizontal="right" vertical="center"/>
    </x:xf>
    <x:xf numFmtId="214" fontId="10" fillId="4" borderId="4" xfId="0" applyNumberFormat="1" applyFont="1" applyFill="1" applyBorder="1" applyAlignment="1">
      <x:alignment horizontal="left" vertical="center"/>
    </x:xf>
    <x:xf numFmtId="214" fontId="10" fillId="4" borderId="4" xfId="0" applyNumberFormat="1" applyFont="1" applyFill="1" applyBorder="1" applyAlignment="1">
      <x:alignment horizontal="right" vertical="center"/>
    </x:xf>
    <x:xf numFmtId="207" fontId="11" fillId="4" borderId="4" xfId="0" applyNumberFormat="1" applyFont="1" applyFill="1" applyBorder="1" applyAlignment="1">
      <x:alignment horizontal="right" vertical="center"/>
    </x:xf>
    <x:xf numFmtId="207" fontId="3" fillId="0" borderId="0" xfId="0" applyNumberFormat="1" applyFont="1" applyFill="1" applyBorder="1" applyAlignment="1">
      <x:alignment horizontal="right" vertical="center"/>
    </x:xf>
    <x:xf numFmtId="215" fontId="3" fillId="0" borderId="0" xfId="0" applyNumberFormat="1" applyFont="1" applyFill="1" applyBorder="1" applyAlignment="1">
      <x:alignment horizontal="right" vertical="center"/>
    </x:xf>
    <x:xf numFmtId="215" fontId="9" fillId="0" borderId="0" xfId="0" applyNumberFormat="1" applyFont="1" applyFill="1" applyBorder="1" applyAlignment="1">
      <x:alignment horizontal="right" vertical="center"/>
    </x:xf>
    <x:xf numFmtId="210" fontId="15" fillId="0" borderId="0" xfId="0" applyNumberFormat="1" applyFont="1" applyFill="1" applyBorder="1" applyAlignment="1">
      <x:alignment horizontal="right" vertical="center"/>
    </x:xf>
    <x:xf numFmtId="210" fontId="3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6" fillId="2" borderId="0" xfId="0" applyNumberFormat="1" applyFont="1" applyFill="1" applyBorder="1" applyAlignment="1">
      <x:alignment horizontal="left" vertical="center"/>
    </x:xf>
    <x:xf numFmtId="200" fontId="7" fillId="2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vertical="center"/>
    </x:xf>
    <x:xf numFmtId="204" fontId="16" fillId="0" borderId="0" xfId="0" applyNumberFormat="1" applyFont="1" applyFill="1" applyBorder="1" applyAlignment="1">
      <x:alignment horizontal="right" vertical="center"/>
    </x:xf>
    <x:xf numFmtId="204" fontId="16" fillId="0" borderId="4" xfId="0" applyNumberFormat="1" applyFont="1" applyFill="1" applyBorder="1" applyAlignment="1">
      <x:alignment horizontal="right" vertical="center"/>
    </x:xf>
    <x:xf numFmtId="203" fontId="16" fillId="0" borderId="0" xfId="0" applyNumberFormat="1" applyFont="1" applyFill="1" applyBorder="1" applyAlignment="1">
      <x:alignment horizontal="right" vertical="center"/>
    </x:xf>
    <x:xf numFmtId="203" fontId="16" fillId="0" borderId="4" xfId="0" applyNumberFormat="1" applyFont="1" applyFill="1" applyBorder="1" applyAlignment="1">
      <x:alignment horizontal="right" vertical="center"/>
    </x:xf>
    <x:xf numFmtId="200" fontId="10" fillId="2" borderId="0" xfId="0" applyNumberFormat="1" applyFont="1" applyFill="1" applyBorder="1" applyAlignment="1">
      <x:alignment horizontal="center" vertical="center"/>
    </x:xf>
    <x:xf numFmtId="204" fontId="10" fillId="0" borderId="4" xfId="0" applyNumberFormat="1" applyFont="1" applyFill="1" applyBorder="1" applyAlignment="1">
      <x:alignment horizontal="right" vertical="center"/>
    </x:xf>
    <x:xf numFmtId="203" fontId="10" fillId="0" borderId="4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ddfb4cc2c14f67" /><Relationship Type="http://schemas.openxmlformats.org/officeDocument/2006/relationships/theme" Target="/xl/theme/theme1.xml" Id="R06979bd27c904da9" /><Relationship Type="http://schemas.openxmlformats.org/officeDocument/2006/relationships/sharedStrings" Target="/xl/sharedStrings.xml" Id="R6175df8fd9d24545" /><Relationship Type="http://schemas.openxmlformats.org/officeDocument/2006/relationships/worksheet" Target="/xl/worksheets/sheet1.xml" Id="R817de6f5fb724cef" /><Relationship Type="http://schemas.openxmlformats.org/officeDocument/2006/relationships/worksheet" Target="/xl/worksheets/sheet2.xml" Id="R56f7dfa986ba4177" /><Relationship Type="http://schemas.openxmlformats.org/officeDocument/2006/relationships/worksheet" Target="/xl/worksheets/sheet3.xml" Id="R12825a729df54cb4" /><Relationship Type="http://schemas.openxmlformats.org/officeDocument/2006/relationships/worksheet" Target="/xl/worksheets/sheet4.xml" Id="Ra9c5c3ad1e824ded" /><Relationship Type="http://schemas.openxmlformats.org/officeDocument/2006/relationships/worksheet" Target="/xl/worksheets/sheet5.xml" Id="R013131cb05e74a98" /><Relationship Type="http://schemas.openxmlformats.org/officeDocument/2006/relationships/worksheet" Target="/xl/worksheets/sheet6.xml" Id="R1b2d56202c0e4b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ff7b17943d7430d" /><Relationship Type="http://schemas.openxmlformats.org/officeDocument/2006/relationships/chart" Target="/xl/drawings/charts/chart1.xml" Id="R9a2d583ca0b14fad" /><Relationship Type="http://schemas.openxmlformats.org/officeDocument/2006/relationships/chart" Target="/xl/drawings/charts/chart2.xml" Id="R3339158fc4c64ee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b0b26baede147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Revenue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 (USD M)</c:v>
          </c:tx>
          <c:spPr>
            <a:solidFill xmlns:a="http://schemas.openxmlformats.org/drawingml/2006/main">
              <a:srgbClr val="087E8B"/>
            </a:solidFill>
            <a:ln xmlns:a="http://schemas.openxmlformats.org/drawingml/2006/main" w="19050">
              <a:solidFill>
                <a:srgbClr val="087E8B"/>
              </a:solidFill>
              <a:prstDash val="solid"/>
            </a:ln>
          </c:spPr>
          <c:marker>
            <c:symbol val="none"/>
          </c:marker>
          <c:cat>
            <c:strRef>
              <c:f>'Summary'!$C$17:$C$25</c:f>
              <c:strCache>
                <c:ptCount val="0"/>
              </c:strCache>
            </c:strRef>
          </c:cat>
          <c:val>
            <c:numRef>
              <c:f>'Summary'!$E$17:$E$25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Compute budget allocation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pieChart>
        <c:ser>
          <c:idx val="0"/>
          <c:order val="0"/>
          <c:tx>
            <c:v>Share</c:v>
          </c:tx>
          <c:cat>
            <c:strRef>
              <c:f>'Summary'!$C$35:$C$39</c:f>
              <c:strCache>
                <c:ptCount val="0"/>
              </c:strCache>
            </c:strRef>
          </c:cat>
          <c:val>
            <c:numRef>
              <c:f>'Summary'!$E$35:$E$39</c:f>
              <c:numCache>
                <c:formatCode>0.0%;(0.0%);"–"</c:formatCode>
                <c:ptCount val="0"/>
              </c:numCache>
            </c:numRef>
          </c:val>
        </c:ser>
      </c:pie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Operating and free cash flow (USD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Operating cash flow</c:v>
          </c:tx>
          <c:spPr>
            <a:solidFill xmlns:a="http://schemas.openxmlformats.org/drawingml/2006/main">
              <a:srgbClr val="087E8B"/>
            </a:solidFill>
            <a:ln xmlns:a="http://schemas.openxmlformats.org/drawingml/2006/main" w="19050">
              <a:solidFill>
                <a:srgbClr val="087E8B"/>
              </a:solidFill>
              <a:prstDash val="solid"/>
            </a:ln>
          </c:spPr>
          <c:marker>
            <c:symbol val="none"/>
          </c:marker>
          <c:cat>
            <c:strRef>
              <c:f>'Historical'!$C$58:$C$66</c:f>
              <c:strCache>
                <c:ptCount val="0"/>
              </c:strCache>
            </c:strRef>
          </c:cat>
          <c:val>
            <c:numRef>
              <c:f>'Historical'!$D$58:$D$66</c:f>
              <c:numCache>
                <c:formatCode>#,##0.0;(#,##0.0);"–"</c:formatCode>
                <c:ptCount val="0"/>
              </c:numCache>
            </c:numRef>
          </c:val>
          <c:smooth val="0"/>
        </c:ser>
        <c:ser>
          <c:idx val="1"/>
          <c:order val="1"/>
          <c:tx>
            <c:v>Free cash flow</c:v>
          </c:tx>
          <c:spPr>
            <a:solidFill xmlns:a="http://schemas.openxmlformats.org/drawingml/2006/main">
              <a:srgbClr val="17354B"/>
            </a:solidFill>
            <a:ln xmlns:a="http://schemas.openxmlformats.org/drawingml/2006/main" w="19050">
              <a:solidFill>
                <a:srgbClr val="17354B"/>
              </a:solidFill>
              <a:prstDash val="solid"/>
            </a:ln>
          </c:spPr>
          <c:marker>
            <c:symbol val="none"/>
          </c:marker>
          <c:cat>
            <c:strRef>
              <c:f>'Historical'!$C$58:$C$66</c:f>
              <c:strCache>
                <c:ptCount val="0"/>
              </c:strCache>
            </c:strRef>
          </c:cat>
          <c:val>
            <c:numRef>
              <c:f>'Historical'!$F$58:$F$66</c:f>
              <c:numCache>
                <c:formatCode>#,##0.0;(#,##0.0);"–"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15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2d583ca0b14fad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39158fc4c64eeb"/>
        </a:graphicData>
      </a:graphic>
    </xdr:graphicFrame>
    <xdr:clientData/>
  </xdr:twoCellAnchor>
  <xdr:oneCellAnchor>
    <xdr:from>
      <xdr:col>9</xdr:col>
      <xdr:colOff>0</xdr:colOff>
      <xdr:row>1</xdr:row>
      <xdr:rowOff>0</xdr:rowOff>
    </xdr:from>
    <xdr:ext cx="628650" cy="628650"/>
    <xdr:pic>
      <xdr:nvPicPr>
        <xdr:cNvPr id="3" name="e79c780e-4054-4548-a77e-62cfe23672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f7b17943d7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twoCellAnchor>
    <xdr:from>
      <xdr:col>2</xdr:col>
      <xdr:colOff>0</xdr:colOff>
      <xdr:row>38</xdr:row>
      <xdr:rowOff>0</xdr:rowOff>
    </xdr:from>
    <xdr:to>
      <xdr:col>14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0b26baede147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30a77e14384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6a0ff0092c54e6d" /></Relationships>
</file>

<file path=xl/worksheets/sheet1.xml><?xml version="1.0" encoding="utf-8"?>
<x:worksheet xmlns:x="http://schemas.openxmlformats.org/spreadsheetml/2006/main">
  <x:sheetPr>
    <x:tabColor rgb="FF17354B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2" hidden="0" customWidth="1"/>
    <x:col min="4" max="4" width="9" hidden="0" customWidth="1"/>
    <x:col min="5" max="5" width="20" hidden="0" customWidth="1"/>
    <x:col min="6" max="6" width="3" hidden="0" customWidth="1"/>
    <x:col min="7" max="7" width="30" hidden="0" customWidth="1"/>
    <x:col min="8" max="8" width="9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Tesla financial analysis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126" t="str">
        <x:v>Report authors: Kanishk Raj, Abhishek Kashyap and Harsh Parashar.</x:v>
      </x:c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Historical data: 2012–2020. Valuations are illustrative, not current market estimates.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Selected:</x:v>
      </x:c>
      <x:c r="D5" s="2"/>
      <x:c r="E5" s="12" t="str">
        <x:f>Assumptions!G5</x:f>
        <x:v>Baseline taper</x:v>
      </x:c>
      <x:c r="F5" s="4"/>
      <x:c r="G5" s="4"/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14" t="str">
        <x:v>Change the case in Assumptions!E5. Amounts are USD millions except per-share values.</x:v>
      </x:c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2" customHeight="1">
      <x:c r="A7" s="2"/>
      <x:c r="B7" s="2"/>
      <x:c r="C7" s="2"/>
      <x:c r="D7" s="2"/>
      <x:c r="E7" s="4"/>
      <x:c r="F7" s="4"/>
      <x:c r="G7" s="4"/>
      <x:c r="H7" s="4"/>
      <x:c r="I7" s="4"/>
      <x:c r="J7" s="4"/>
      <x:c r="K7" s="4"/>
      <x:c r="L7" s="4"/>
      <x:c r="M7" s="4"/>
    </x:row>
    <x:row r="8" ht="26" customHeight="1">
      <x:c r="A8" s="2"/>
      <x:c r="B8" s="2"/>
      <x:c r="C8" s="24" t="str">
        <x:v>Historical result</x:v>
      </x:c>
      <x:c r="D8" s="24"/>
      <x:c r="E8" s="25" t="str">
        <x:v>2020 / period</x:v>
      </x:c>
      <x:c r="F8" s="4"/>
      <x:c r="G8" s="25" t="str">
        <x:v>Active valuation</x:v>
      </x:c>
      <x:c r="H8" s="25"/>
      <x:c r="I8" s="25" t="str">
        <x:v>Result</x:v>
      </x:c>
      <x:c r="J8" s="4"/>
      <x:c r="K8" s="4"/>
      <x:c r="L8" s="4"/>
      <x:c r="M8" s="4"/>
    </x:row>
    <x:row r="9" ht="22" customHeight="1">
      <x:c r="A9" s="2"/>
      <x:c r="B9" s="2"/>
      <x:c r="C9" s="9" t="str">
        <x:v>Revenue</x:v>
      </x:c>
      <x:c r="D9" s="2"/>
      <x:c r="E9" s="48" t="n">
        <x:f>Historical!M8</x:f>
        <x:v>31536</x:v>
      </x:c>
      <x:c r="F9" s="4"/>
      <x:c r="G9" s="127" t="str">
        <x:v>DCF value per share</x:v>
      </x:c>
      <x:c r="H9" s="4"/>
      <x:c r="I9" s="61" t="n">
        <x:f>DCF!I35</x:f>
        <x:v>51.76742954467659</x:v>
      </x:c>
      <x:c r="J9" s="4"/>
      <x:c r="K9" s="4"/>
      <x:c r="L9" s="4"/>
      <x:c r="M9" s="4"/>
    </x:row>
    <x:row r="10" ht="22" customHeight="1">
      <x:c r="A10" s="2"/>
      <x:c r="B10" s="2"/>
      <x:c r="C10" s="9" t="str">
        <x:v>Revenue CAGR, 2012–2020</x:v>
      </x:c>
      <x:c r="D10" s="2"/>
      <x:c r="E10" s="53" t="n">
        <x:f>Historical!M27</x:f>
        <x:v>0.7191861527137506</x:v>
      </x:c>
      <x:c r="F10" s="4"/>
      <x:c r="G10" s="127" t="str">
        <x:v>Enterprise value</x:v>
      </x:c>
      <x:c r="H10" s="4"/>
      <x:c r="I10" s="48" t="n">
        <x:f>DCF!I29</x:f>
        <x:v>136720.42595207156</x:v>
      </x:c>
      <x:c r="J10" s="4"/>
      <x:c r="K10" s="4"/>
      <x:c r="L10" s="4"/>
      <x:c r="M10" s="4"/>
    </x:row>
    <x:row r="11" ht="22" customHeight="1">
      <x:c r="A11" s="2"/>
      <x:c r="B11" s="2"/>
      <x:c r="C11" s="9" t="str">
        <x:v>Net income</x:v>
      </x:c>
      <x:c r="D11" s="2"/>
      <x:c r="E11" s="48" t="n">
        <x:f>Historical!M14</x:f>
        <x:v>690</x:v>
      </x:c>
      <x:c r="F11" s="4"/>
      <x:c r="G11" s="127" t="str">
        <x:v>Net cash</x:v>
      </x:c>
      <x:c r="H11" s="4"/>
      <x:c r="I11" s="48" t="n">
        <x:f>DCF!I32</x:f>
        <x:v>27900</x:v>
      </x:c>
      <x:c r="J11" s="4"/>
      <x:c r="K11" s="4"/>
      <x:c r="L11" s="4"/>
      <x:c r="M11" s="4"/>
    </x:row>
    <x:row r="12" ht="22" customHeight="1">
      <x:c r="A12" s="2"/>
      <x:c r="B12" s="2"/>
      <x:c r="C12" s="9" t="str">
        <x:v>Free cash flow</x:v>
      </x:c>
      <x:c r="D12" s="2"/>
      <x:c r="E12" s="48" t="n">
        <x:f>Historical!M18</x:f>
        <x:v>2786</x:v>
      </x:c>
      <x:c r="F12" s="4"/>
      <x:c r="G12" s="127" t="str">
        <x:v>Terminal value / EV</x:v>
      </x:c>
      <x:c r="H12" s="4"/>
      <x:c r="I12" s="53" t="n">
        <x:f>DCF!I36</x:f>
        <x:v>0.7462866913180372</x:v>
      </x:c>
      <x:c r="J12" s="4"/>
      <x:c r="K12" s="4"/>
      <x:c r="L12" s="4"/>
      <x:c r="M12" s="4"/>
    </x:row>
    <x:row r="13" ht="22" customHeight="1">
      <x:c r="A13" s="2"/>
      <x:c r="B13" s="2"/>
      <x:c r="C13" s="9" t="str">
        <x:v>Cash and equivalents</x:v>
      </x:c>
      <x:c r="D13" s="2"/>
      <x:c r="E13" s="48" t="n">
        <x:f>Historical!M20</x:f>
        <x:v>19384</x:v>
      </x:c>
      <x:c r="F13" s="4"/>
      <x:c r="G13" s="127" t="str">
        <x:v>DCF plus software / share</x:v>
      </x:c>
      <x:c r="H13" s="4"/>
      <x:c r="I13" s="61" t="n">
        <x:f>DCF!E54</x:f>
        <x:v>62.71926531826149</x:v>
      </x:c>
      <x:c r="J13" s="4"/>
      <x:c r="K13" s="4"/>
      <x:c r="L13" s="4"/>
      <x:c r="M13" s="4"/>
    </x:row>
    <x:row r="14" ht="22" customHeight="1">
      <x:c r="A14" s="2"/>
      <x:c r="B14" s="2"/>
      <x:c r="C14" s="2"/>
      <x:c r="D14" s="2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2" customHeight="1">
      <x:c r="A15" s="2"/>
      <x:c r="B15" s="2"/>
      <x:c r="C15" s="2"/>
      <x:c r="D15" s="2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26" customHeight="1">
      <x:c r="A16" s="2"/>
      <x:c r="B16" s="2"/>
      <x:c r="C16" s="24" t="str">
        <x:v>Year</x:v>
      </x:c>
      <x:c r="D16" s="24"/>
      <x:c r="E16" s="25" t="str">
        <x:v>Revenue (USD M)</x:v>
      </x:c>
      <x:c r="F16" s="4"/>
      <x:c r="G16" s="4"/>
      <x:c r="H16" s="4"/>
      <x:c r="I16" s="4"/>
      <x:c r="J16" s="4"/>
      <x:c r="K16" s="4"/>
      <x:c r="L16" s="4"/>
      <x:c r="M16" s="4"/>
    </x:row>
    <x:row r="17" ht="22" customHeight="1">
      <x:c r="A17" s="2"/>
      <x:c r="B17" s="2"/>
      <x:c r="C17" s="2" t="str">
        <x:f>TEXT(Historical!E7,"0")</x:f>
        <x:v>2012</x:v>
      </x:c>
      <x:c r="D17" s="2"/>
      <x:c r="E17" s="4" t="n">
        <x:f>Historical!E8</x:f>
        <x:v>413.26</x:v>
      </x:c>
      <x:c r="F17" s="4"/>
      <x:c r="G17" s="4"/>
      <x:c r="H17" s="4"/>
      <x:c r="I17" s="4"/>
      <x:c r="J17" s="4"/>
      <x:c r="K17" s="4"/>
      <x:c r="L17" s="4"/>
      <x:c r="M17" s="4"/>
    </x:row>
    <x:row r="18" ht="22" customHeight="1">
      <x:c r="A18" s="2"/>
      <x:c r="B18" s="2"/>
      <x:c r="C18" s="2" t="str">
        <x:f>TEXT(Historical!F7,"0")</x:f>
        <x:v>2013</x:v>
      </x:c>
      <x:c r="D18" s="2"/>
      <x:c r="E18" s="4" t="n">
        <x:f>Historical!F8</x:f>
        <x:v>2013.5</x:v>
      </x:c>
      <x:c r="F18" s="4"/>
      <x:c r="G18" s="4"/>
      <x:c r="H18" s="4"/>
      <x:c r="I18" s="4"/>
      <x:c r="J18" s="4"/>
      <x:c r="K18" s="4"/>
      <x:c r="L18" s="4"/>
      <x:c r="M18" s="4"/>
    </x:row>
    <x:row r="19" ht="22" customHeight="1">
      <x:c r="A19" s="2"/>
      <x:c r="B19" s="2"/>
      <x:c r="C19" s="2" t="str">
        <x:f>TEXT(Historical!G7,"0")</x:f>
        <x:v>2014</x:v>
      </x:c>
      <x:c r="D19" s="2"/>
      <x:c r="E19" s="4" t="n">
        <x:f>Historical!G8</x:f>
        <x:v>3198.36</x:v>
      </x:c>
      <x:c r="F19" s="4"/>
      <x:c r="G19" s="4"/>
      <x:c r="H19" s="4"/>
      <x:c r="I19" s="4"/>
      <x:c r="J19" s="4"/>
      <x:c r="K19" s="4"/>
      <x:c r="L19" s="4"/>
      <x:c r="M19" s="4"/>
    </x:row>
    <x:row r="20" ht="22" customHeight="1">
      <x:c r="A20" s="2"/>
      <x:c r="B20" s="2"/>
      <x:c r="C20" s="2" t="str">
        <x:f>TEXT(Historical!H7,"0")</x:f>
        <x:v>2015</x:v>
      </x:c>
      <x:c r="D20" s="2"/>
      <x:c r="E20" s="4" t="n">
        <x:f>Historical!H8</x:f>
        <x:v>4046.03</x:v>
      </x:c>
      <x:c r="F20" s="4"/>
      <x:c r="G20" s="4"/>
      <x:c r="H20" s="4"/>
      <x:c r="I20" s="4"/>
      <x:c r="J20" s="4"/>
      <x:c r="K20" s="4"/>
      <x:c r="L20" s="4"/>
      <x:c r="M20" s="4"/>
    </x:row>
    <x:row r="21" ht="22" customHeight="1">
      <x:c r="A21" s="2"/>
      <x:c r="B21" s="2"/>
      <x:c r="C21" s="2" t="str">
        <x:f>TEXT(Historical!I7,"0")</x:f>
        <x:v>2016</x:v>
      </x:c>
      <x:c r="D21" s="2"/>
      <x:c r="E21" s="4" t="n">
        <x:f>Historical!I8</x:f>
        <x:v>7000.13</x:v>
      </x:c>
      <x:c r="F21" s="4"/>
      <x:c r="G21" s="4"/>
      <x:c r="H21" s="4"/>
      <x:c r="I21" s="4"/>
      <x:c r="J21" s="4"/>
      <x:c r="K21" s="4"/>
      <x:c r="L21" s="4"/>
      <x:c r="M21" s="4"/>
    </x:row>
    <x:row r="22" ht="22" customHeight="1">
      <x:c r="A22" s="2"/>
      <x:c r="B22" s="2"/>
      <x:c r="C22" s="2" t="str">
        <x:f>TEXT(Historical!J7,"0")</x:f>
        <x:v>2017</x:v>
      </x:c>
      <x:c r="D22" s="2"/>
      <x:c r="E22" s="4" t="n">
        <x:f>Historical!J8</x:f>
        <x:v>11758.75</x:v>
      </x:c>
      <x:c r="F22" s="4"/>
      <x:c r="G22" s="4"/>
      <x:c r="H22" s="4"/>
      <x:c r="I22" s="4"/>
      <x:c r="J22" s="4"/>
      <x:c r="K22" s="4"/>
      <x:c r="L22" s="4"/>
      <x:c r="M22" s="4"/>
    </x:row>
    <x:row r="23" ht="22" customHeight="1">
      <x:c r="A23" s="2"/>
      <x:c r="B23" s="2"/>
      <x:c r="C23" s="2" t="str">
        <x:f>TEXT(Historical!K7,"0")</x:f>
        <x:v>2018</x:v>
      </x:c>
      <x:c r="D23" s="2"/>
      <x:c r="E23" s="4" t="n">
        <x:f>Historical!K8</x:f>
        <x:v>21461.27</x:v>
      </x:c>
      <x:c r="F23" s="4"/>
      <x:c r="G23" s="4"/>
      <x:c r="H23" s="4"/>
      <x:c r="I23" s="4"/>
      <x:c r="J23" s="4"/>
      <x:c r="K23" s="4"/>
      <x:c r="L23" s="4"/>
      <x:c r="M23" s="4"/>
    </x:row>
    <x:row r="24" ht="22" customHeight="1">
      <x:c r="A24" s="2"/>
      <x:c r="B24" s="2"/>
      <x:c r="C24" s="2" t="str">
        <x:f>TEXT(Historical!L7,"0")</x:f>
        <x:v>2019</x:v>
      </x:c>
      <x:c r="D24" s="2"/>
      <x:c r="E24" s="4" t="n">
        <x:f>Historical!L8</x:f>
        <x:v>24578</x:v>
      </x:c>
      <x:c r="F24" s="4"/>
      <x:c r="G24" s="4"/>
      <x:c r="H24" s="4"/>
      <x:c r="I24" s="4"/>
      <x:c r="J24" s="4"/>
      <x:c r="K24" s="4"/>
      <x:c r="L24" s="4"/>
      <x:c r="M24" s="4"/>
    </x:row>
    <x:row r="25" ht="22" customHeight="1">
      <x:c r="A25" s="2"/>
      <x:c r="B25" s="2"/>
      <x:c r="C25" s="2" t="str">
        <x:f>TEXT(Historical!M7,"0")</x:f>
        <x:v>2020</x:v>
      </x:c>
      <x:c r="D25" s="2"/>
      <x:c r="E25" s="4" t="n">
        <x:f>Historical!M8</x:f>
        <x:v>31536</x:v>
      </x:c>
      <x:c r="F25" s="4"/>
      <x:c r="G25" s="4"/>
      <x:c r="H25" s="4"/>
      <x:c r="I25" s="4"/>
      <x:c r="J25" s="4"/>
      <x:c r="K25" s="4"/>
      <x:c r="L25" s="4"/>
      <x:c r="M25" s="4"/>
    </x:row>
    <x:row r="26" ht="22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22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2" customHeight="1">
      <x:c r="A28" s="2"/>
      <x:c r="B28" s="2"/>
      <x:c r="C28" s="2"/>
      <x:c r="D28" s="2"/>
      <x:c r="E28" s="4"/>
      <x:c r="F28" s="4"/>
      <x:c r="G28" s="4"/>
      <x:c r="H28" s="4"/>
      <x:c r="I28" s="4"/>
      <x:c r="J28" s="4"/>
      <x:c r="K28" s="4"/>
      <x:c r="L28" s="4"/>
      <x:c r="M28" s="4"/>
    </x:row>
    <x:row r="29" ht="22" customHeight="1">
      <x:c r="A29" s="2"/>
      <x:c r="B29" s="2"/>
      <x:c r="C29" s="2"/>
      <x:c r="D29" s="2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22" customHeight="1">
      <x:c r="A30" s="2"/>
      <x:c r="B30" s="2"/>
      <x:c r="C30" s="2"/>
      <x:c r="D30" s="2"/>
      <x:c r="E30" s="4"/>
      <x:c r="F30" s="4"/>
      <x:c r="G30" s="4"/>
      <x:c r="H30" s="4"/>
      <x:c r="I30" s="4"/>
      <x:c r="J30" s="4"/>
      <x:c r="K30" s="4"/>
      <x:c r="L30" s="4"/>
      <x:c r="M30" s="4"/>
    </x:row>
    <x:row r="31" ht="22" customHeight="1">
      <x:c r="A31" s="2"/>
      <x:c r="B31" s="2"/>
      <x:c r="C31" s="2"/>
      <x:c r="D31" s="2"/>
      <x:c r="E31" s="4"/>
      <x:c r="F31" s="4"/>
      <x:c r="G31" s="4"/>
      <x:c r="H31" s="4"/>
      <x:c r="I31" s="4"/>
      <x:c r="J31" s="4"/>
      <x:c r="K31" s="4"/>
      <x:c r="L31" s="4"/>
      <x:c r="M31" s="4"/>
    </x:row>
    <x:row r="32" ht="22" customHeight="1">
      <x:c r="A32" s="2"/>
      <x:c r="B32" s="2"/>
      <x:c r="C32" s="2"/>
      <x:c r="D32" s="2"/>
      <x:c r="E32" s="4"/>
      <x:c r="F32" s="4"/>
      <x:c r="G32" s="4"/>
      <x:c r="H32" s="4"/>
      <x:c r="I32" s="4"/>
      <x:c r="J32" s="4"/>
      <x:c r="K32" s="4"/>
      <x:c r="L32" s="4"/>
      <x:c r="M32" s="4"/>
    </x:row>
    <x:row r="33" ht="22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6" customHeight="1">
      <x:c r="A34" s="2"/>
      <x:c r="B34" s="2"/>
      <x:c r="C34" s="24" t="str">
        <x:v>Compute allocation</x:v>
      </x:c>
      <x:c r="D34" s="24"/>
      <x:c r="E34" s="25" t="str">
        <x:v>Share</x:v>
      </x:c>
      <x:c r="F34" s="4"/>
      <x:c r="G34" s="4"/>
      <x:c r="H34" s="4"/>
      <x:c r="I34" s="4"/>
      <x:c r="J34" s="4"/>
      <x:c r="K34" s="4"/>
      <x:c r="L34" s="4"/>
      <x:c r="M34" s="4"/>
    </x:row>
    <x:row r="35" ht="22" customHeight="1">
      <x:c r="A35" s="2"/>
      <x:c r="B35" s="2"/>
      <x:c r="C35" s="9" t="str">
        <x:v>Accelerators</x:v>
      </x:c>
      <x:c r="D35" s="2"/>
      <x:c r="E35" s="53" t="n">
        <x:f>Reference!D19</x:f>
        <x:v>0.585</x:v>
      </x:c>
      <x:c r="F35" s="4"/>
      <x:c r="G35" s="4"/>
      <x:c r="H35" s="4"/>
      <x:c r="I35" s="4"/>
      <x:c r="J35" s="4"/>
      <x:c r="K35" s="4"/>
      <x:c r="L35" s="4"/>
      <x:c r="M35" s="4"/>
    </x:row>
    <x:row r="36" ht="22" customHeight="1">
      <x:c r="A36" s="2"/>
      <x:c r="B36" s="2"/>
      <x:c r="C36" s="9" t="str">
        <x:v>Power and buildings</x:v>
      </x:c>
      <x:c r="D36" s="2"/>
      <x:c r="E36" s="53" t="n">
        <x:f>Reference!D20</x:f>
        <x:v>0.138</x:v>
      </x:c>
      <x:c r="F36" s="4"/>
      <x:c r="G36" s="4"/>
      <x:c r="H36" s="4"/>
      <x:c r="I36" s="4"/>
      <x:c r="J36" s="4"/>
      <x:c r="K36" s="4"/>
      <x:c r="L36" s="4"/>
      <x:c r="M36" s="4"/>
    </x:row>
    <x:row r="37" ht="22" customHeight="1">
      <x:c r="A37" s="2"/>
      <x:c r="B37" s="2"/>
      <x:c r="C37" s="9" t="str">
        <x:v>Cooling</x:v>
      </x:c>
      <x:c r="D37" s="2"/>
      <x:c r="E37" s="53" t="n">
        <x:f>Reference!D21</x:f>
        <x:v>0.12300000000000001</x:v>
      </x:c>
      <x:c r="F37" s="4"/>
      <x:c r="G37" s="4"/>
      <x:c r="H37" s="4"/>
      <x:c r="I37" s="4"/>
      <x:c r="J37" s="4"/>
      <x:c r="K37" s="4"/>
      <x:c r="L37" s="4"/>
      <x:c r="M37" s="4"/>
    </x:row>
    <x:row r="38" ht="22" customHeight="1">
      <x:c r="A38" s="2"/>
      <x:c r="B38" s="2"/>
      <x:c r="C38" s="9" t="str">
        <x:v>Storage</x:v>
      </x:c>
      <x:c r="D38" s="2"/>
      <x:c r="E38" s="53" t="n">
        <x:f>Reference!D22</x:f>
        <x:v>0.085</x:v>
      </x:c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9" t="str">
        <x:v>Interconnect</x:v>
      </x:c>
      <x:c r="D39" s="2"/>
      <x:c r="E39" s="53" t="n">
        <x:f>Reference!D23</x:f>
        <x:v>0.069</x:v>
      </x:c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77" t="str">
        <x:v>Total</x:v>
      </x:c>
      <x:c r="D41" s="78"/>
      <x:c r="E41" s="137" t="n">
        <x:f>Reference!D24</x:f>
        <x:v>1</x:v>
      </x:c>
      <x:c r="F41" s="4"/>
      <x:c r="G41" s="4"/>
      <x:c r="H41" s="4"/>
      <x:c r="I41" s="4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6" customHeight="1">
      <x:c r="A45" s="2"/>
      <x:c r="B45" s="2"/>
      <x:c r="C45" s="24" t="str">
        <x:v>Equity valuation (USD M)</x:v>
      </x:c>
      <x:c r="D45" s="24"/>
      <x:c r="E45" s="25" t="str">
        <x:v>Value</x:v>
      </x:c>
      <x:c r="F45" s="4"/>
      <x:c r="G45" s="4"/>
      <x:c r="H45" s="4"/>
      <x:c r="I45" s="4"/>
      <x:c r="J45" s="4"/>
      <x:c r="K45" s="4"/>
      <x:c r="L45" s="4"/>
      <x:c r="M45" s="4"/>
    </x:row>
    <x:row r="46" ht="22" customHeight="1">
      <x:c r="A46" s="2"/>
      <x:c r="B46" s="2"/>
      <x:c r="C46" s="9" t="str">
        <x:v>Operating enterprise value</x:v>
      </x:c>
      <x:c r="D46" s="2"/>
      <x:c r="E46" s="48" t="n">
        <x:f>DCF!I29</x:f>
        <x:v>136720.42595207156</x:v>
      </x:c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9" t="str">
        <x:v>Net cash</x:v>
      </x:c>
      <x:c r="D47" s="2"/>
      <x:c r="E47" s="48" t="n">
        <x:f>DCF!I32</x:f>
        <x:v>27900</x:v>
      </x:c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77" t="str">
        <x:v>Equity value</x:v>
      </x:c>
      <x:c r="D48" s="78"/>
      <x:c r="E48" s="138" t="n">
        <x:f>DCF!I33</x:f>
        <x:v>164620.42595207156</x:v>
      </x:c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2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22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22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22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2"/>
      <x:c r="D66" s="2"/>
      <x:c r="E66" s="4"/>
      <x:c r="F66" s="4"/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2"/>
      <x:c r="D67" s="2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2"/>
      <x:c r="D68" s="2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2"/>
      <x:c r="D70" s="2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2"/>
      <x:c r="D72" s="2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22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2"/>
      <x:c r="D76" s="2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pageMargins left="0.7" right="0.7" top="0.75" bottom="0.75" header="0.3" footer="0.3"/>
  <x:drawing xmlns:r="http://schemas.openxmlformats.org/officeDocument/2006/relationships" r:id="R030a77e1438446b2"/>
</x:worksheet>
</file>

<file path=xl/worksheets/sheet2.xml><?xml version="1.0" encoding="utf-8"?>
<x:worksheet xmlns:x="http://schemas.openxmlformats.org/spreadsheetml/2006/main">
  <x:sheetPr>
    <x:tabColor rgb="FF4C718C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Valuation assumptions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6"/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Edit blue numbers. Select 1, 2 or 3 in E5 to update the model.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number</x:v>
      </x:c>
      <x:c r="D5" s="2"/>
      <x:c r="E5" s="31" t="n">
        <x:v>1</x:v>
      </x:c>
      <x:c r="F5" s="4"/>
      <x:c r="G5" s="10" t="str">
        <x:f>CHOOSE(E5,"Baseline taper","Bear case","Flat CapEx")</x:f>
        <x:v>Baseline taper</x:v>
      </x:c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14" t="str">
        <x:v>1 Baseline taper     2 Bear case     3 Flat CapEx</x:v>
      </x:c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2" customHeight="1">
      <x:c r="A7" s="2"/>
      <x:c r="B7" s="2"/>
      <x:c r="C7" s="2"/>
      <x:c r="D7" s="2"/>
      <x:c r="E7" s="4"/>
      <x:c r="F7" s="4"/>
      <x:c r="G7" s="4"/>
      <x:c r="H7" s="4"/>
      <x:c r="I7" s="4"/>
      <x:c r="J7" s="4"/>
      <x:c r="K7" s="4"/>
      <x:c r="L7" s="4"/>
      <x:c r="M7" s="4"/>
    </x:row>
    <x:row r="8" ht="22" customHeight="1">
      <x:c r="A8" s="2"/>
      <x:c r="B8" s="2"/>
      <x:c r="C8" s="39" t="str">
        <x:v>Year 0 revenue (USD millions)</x:v>
      </x:c>
      <x:c r="D8" s="40"/>
      <x:c r="E8" s="41"/>
      <x:c r="F8" s="41"/>
      <x:c r="G8" s="41"/>
      <x:c r="H8" s="41"/>
      <x:c r="I8" s="41"/>
      <x:c r="J8" s="4"/>
      <x:c r="K8" s="4"/>
      <x:c r="L8" s="4"/>
      <x:c r="M8" s="4"/>
    </x:row>
    <x:row r="9" ht="22" customHeight="1">
      <x:c r="A9" s="2"/>
      <x:c r="B9" s="2"/>
      <x:c r="C9" s="45" t="str">
        <x:v>Active Selection</x:v>
      </x:c>
      <x:c r="D9" s="46"/>
      <x:c r="E9" s="51" t="n">
        <x:f>CHOOSE($E$5,IF(E10="",NA(),E10),IF(E11="",NA(),E11),IF(E12="",NA(),E12))</x:f>
        <x:v>96491.22807017545</x:v>
      </x:c>
      <x:c r="F9" s="47"/>
      <x:c r="G9" s="47"/>
      <x:c r="H9" s="47"/>
      <x:c r="I9" s="47"/>
      <x:c r="J9" s="4"/>
      <x:c r="K9" s="4"/>
      <x:c r="L9" s="4"/>
      <x:c r="M9" s="4"/>
    </x:row>
    <x:row r="10" ht="22" customHeight="1">
      <x:c r="A10" s="2"/>
      <x:c r="B10" s="2"/>
      <x:c r="C10" s="9" t="str">
        <x:v>Baseline taper</x:v>
      </x:c>
      <x:c r="D10" s="2"/>
      <x:c r="E10" s="49" t="n">
        <x:v>96491.22807017545</x:v>
      </x:c>
      <x:c r="F10" s="4"/>
      <x:c r="G10" s="4"/>
      <x:c r="H10" s="4"/>
      <x:c r="I10" s="4"/>
      <x:c r="J10" s="4"/>
      <x:c r="K10" s="4"/>
      <x:c r="L10" s="4"/>
      <x:c r="M10" s="4"/>
    </x:row>
    <x:row r="11" ht="22" customHeight="1">
      <x:c r="A11" s="2"/>
      <x:c r="B11" s="2"/>
      <x:c r="C11" s="9" t="str">
        <x:v>Bear case</x:v>
      </x:c>
      <x:c r="D11" s="2"/>
      <x:c r="E11" s="49" t="n">
        <x:v>96153.84615384616</x:v>
      </x:c>
      <x:c r="F11" s="4"/>
      <x:c r="G11" s="4"/>
      <x:c r="H11" s="4"/>
      <x:c r="I11" s="4"/>
      <x:c r="J11" s="4"/>
      <x:c r="K11" s="4"/>
      <x:c r="L11" s="4"/>
      <x:c r="M11" s="4"/>
    </x:row>
    <x:row r="12" ht="22" customHeight="1">
      <x:c r="A12" s="2"/>
      <x:c r="B12" s="2"/>
      <x:c r="C12" s="9" t="str">
        <x:v>Flat CapEx</x:v>
      </x:c>
      <x:c r="D12" s="2"/>
      <x:c r="E12" s="49" t="n">
        <x:v>96491.22807017545</x:v>
      </x:c>
      <x:c r="F12" s="4"/>
      <x:c r="G12" s="4"/>
      <x:c r="H12" s="4"/>
      <x:c r="I12" s="4"/>
      <x:c r="J12" s="4"/>
      <x:c r="K12" s="4"/>
      <x:c r="L12" s="4"/>
      <x:c r="M12" s="4"/>
    </x:row>
    <x:row r="13" ht="22" customHeight="1">
      <x:c r="A13" s="2"/>
      <x:c r="B13" s="2"/>
      <x:c r="C13" s="2"/>
      <x:c r="D13" s="2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22" customHeight="1">
      <x:c r="A14" s="2"/>
      <x:c r="B14" s="2"/>
      <x:c r="C14" s="2"/>
      <x:c r="D14" s="2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2" customHeight="1">
      <x:c r="A15" s="2"/>
      <x:c r="B15" s="2"/>
      <x:c r="C15" s="2"/>
      <x:c r="D15" s="2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22" customHeight="1">
      <x:c r="A16" s="2"/>
      <x:c r="B16" s="2"/>
      <x:c r="C16" s="39" t="str">
        <x:v>Revenue growth</x:v>
      </x:c>
      <x:c r="D16" s="40"/>
      <x:c r="E16" s="52" t="str">
        <x:v>Year 1</x:v>
      </x:c>
      <x:c r="F16" s="52" t="str">
        <x:v>Year 2</x:v>
      </x:c>
      <x:c r="G16" s="52" t="str">
        <x:v>Year 3</x:v>
      </x:c>
      <x:c r="H16" s="52" t="str">
        <x:v>Year 4</x:v>
      </x:c>
      <x:c r="I16" s="52" t="str">
        <x:v>Year 5</x:v>
      </x:c>
      <x:c r="J16" s="4"/>
      <x:c r="K16" s="4"/>
      <x:c r="L16" s="4"/>
      <x:c r="M16" s="4"/>
    </x:row>
    <x:row r="17" ht="22" customHeight="1">
      <x:c r="A17" s="2"/>
      <x:c r="B17" s="2"/>
      <x:c r="C17" s="45" t="str">
        <x:v>Active Selection</x:v>
      </x:c>
      <x:c r="D17" s="46"/>
      <x:c r="E17" s="55" t="n">
        <x:f>CHOOSE($E$5,IF(E18="",NA(),E18),IF(E19="",NA(),E19),IF(E20="",NA(),E20))</x:f>
        <x:v>0.14</x:v>
      </x:c>
      <x:c r="F17" s="55" t="n">
        <x:f>CHOOSE($E$5,IF(F18="",NA(),F18),IF(F19="",NA(),F19),IF(F20="",NA(),F20))</x:f>
        <x:v>0.15</x:v>
      </x:c>
      <x:c r="G17" s="55" t="n">
        <x:f>CHOOSE($E$5,IF(G18="",NA(),G18),IF(G19="",NA(),G19),IF(G20="",NA(),G20))</x:f>
        <x:v>0.14</x:v>
      </x:c>
      <x:c r="H17" s="55" t="n">
        <x:f>CHOOSE($E$5,IF(H18="",NA(),H18),IF(H19="",NA(),H19),IF(H20="",NA(),H20))</x:f>
        <x:v>0.13</x:v>
      </x:c>
      <x:c r="I17" s="55" t="n">
        <x:f>CHOOSE($E$5,IF(I18="",NA(),I18),IF(I19="",NA(),I19),IF(I20="",NA(),I20))</x:f>
        <x:v>0.12</x:v>
      </x:c>
      <x:c r="J17" s="4"/>
      <x:c r="K17" s="4"/>
      <x:c r="L17" s="4"/>
      <x:c r="M17" s="4"/>
    </x:row>
    <x:row r="18" ht="22" customHeight="1">
      <x:c r="A18" s="2"/>
      <x:c r="B18" s="2"/>
      <x:c r="C18" s="9" t="str">
        <x:v>Baseline taper</x:v>
      </x:c>
      <x:c r="D18" s="2"/>
      <x:c r="E18" s="54" t="n">
        <x:v>0.14</x:v>
      </x:c>
      <x:c r="F18" s="54" t="n">
        <x:v>0.15</x:v>
      </x:c>
      <x:c r="G18" s="54" t="n">
        <x:v>0.14</x:v>
      </x:c>
      <x:c r="H18" s="54" t="n">
        <x:v>0.13</x:v>
      </x:c>
      <x:c r="I18" s="54" t="n">
        <x:v>0.12</x:v>
      </x:c>
      <x:c r="J18" s="4"/>
      <x:c r="K18" s="4"/>
      <x:c r="L18" s="4"/>
      <x:c r="M18" s="4"/>
    </x:row>
    <x:row r="19" ht="22" customHeight="1">
      <x:c r="A19" s="2"/>
      <x:c r="B19" s="2"/>
      <x:c r="C19" s="9" t="str">
        <x:v>Bear case</x:v>
      </x:c>
      <x:c r="D19" s="2"/>
      <x:c r="E19" s="54" t="n">
        <x:v>0.04</x:v>
      </x:c>
      <x:c r="F19" s="54" t="n">
        <x:v>0.05</x:v>
      </x:c>
      <x:c r="G19" s="54" t="n">
        <x:v>0.04</x:v>
      </x:c>
      <x:c r="H19" s="54" t="n">
        <x:v>0.03</x:v>
      </x:c>
      <x:c r="I19" s="54" t="n">
        <x:v>0.02</x:v>
      </x:c>
      <x:c r="J19" s="4"/>
      <x:c r="K19" s="4"/>
      <x:c r="L19" s="4"/>
      <x:c r="M19" s="4"/>
    </x:row>
    <x:row r="20" ht="22" customHeight="1">
      <x:c r="A20" s="2"/>
      <x:c r="B20" s="2"/>
      <x:c r="C20" s="9" t="str">
        <x:v>Flat CapEx</x:v>
      </x:c>
      <x:c r="D20" s="2"/>
      <x:c r="E20" s="54" t="n">
        <x:v>0.14</x:v>
      </x:c>
      <x:c r="F20" s="54" t="n">
        <x:v>0.15</x:v>
      </x:c>
      <x:c r="G20" s="54" t="n">
        <x:v>0.14</x:v>
      </x:c>
      <x:c r="H20" s="54" t="n">
        <x:v>0.13</x:v>
      </x:c>
      <x:c r="I20" s="54" t="n">
        <x:v>0.12</x:v>
      </x:c>
      <x:c r="J20" s="4"/>
      <x:c r="K20" s="4"/>
      <x:c r="L20" s="4"/>
      <x:c r="M20" s="4"/>
    </x:row>
    <x:row r="21" ht="22" customHeight="1">
      <x:c r="A21" s="2"/>
      <x:c r="B21" s="2"/>
      <x:c r="C21" s="2"/>
      <x:c r="D21" s="2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22" customHeight="1">
      <x:c r="A22" s="2"/>
      <x:c r="B22" s="2"/>
      <x:c r="C22" s="39" t="str">
        <x:v>EBIT margin</x:v>
      </x:c>
      <x:c r="D22" s="40"/>
      <x:c r="E22" s="52" t="str">
        <x:v>Year 1</x:v>
      </x:c>
      <x:c r="F22" s="52" t="str">
        <x:v>Year 2</x:v>
      </x:c>
      <x:c r="G22" s="52" t="str">
        <x:v>Year 3</x:v>
      </x:c>
      <x:c r="H22" s="52" t="str">
        <x:v>Year 4</x:v>
      </x:c>
      <x:c r="I22" s="52" t="str">
        <x:v>Year 5</x:v>
      </x:c>
      <x:c r="J22" s="4"/>
      <x:c r="K22" s="4"/>
      <x:c r="L22" s="4"/>
      <x:c r="M22" s="4"/>
    </x:row>
    <x:row r="23" ht="22" customHeight="1">
      <x:c r="A23" s="2"/>
      <x:c r="B23" s="2"/>
      <x:c r="C23" s="45" t="str">
        <x:v>Active Selection</x:v>
      </x:c>
      <x:c r="D23" s="46"/>
      <x:c r="E23" s="55" t="n">
        <x:f>CHOOSE($E$5,IF(E24="",NA(),E24),IF(E25="",NA(),E25),IF(E26="",NA(),E26))</x:f>
        <x:v>0.095</x:v>
      </x:c>
      <x:c r="F23" s="55" t="n">
        <x:f>CHOOSE($E$5,IF(F24="",NA(),F24),IF(F25="",NA(),F25),IF(F26="",NA(),F26))</x:f>
        <x:v>0.105</x:v>
      </x:c>
      <x:c r="G23" s="55" t="n">
        <x:f>CHOOSE($E$5,IF(G24="",NA(),G24),IF(G25="",NA(),G25),IF(G26="",NA(),G26))</x:f>
        <x:v>0.115</x:v>
      </x:c>
      <x:c r="H23" s="55" t="n">
        <x:f>CHOOSE($E$5,IF(H24="",NA(),H24),IF(H25="",NA(),H25),IF(H26="",NA(),H26))</x:f>
        <x:v>0.125</x:v>
      </x:c>
      <x:c r="I23" s="55" t="n">
        <x:f>CHOOSE($E$5,IF(I24="",NA(),I24),IF(I25="",NA(),I25),IF(I26="",NA(),I26))</x:f>
        <x:v>0.135</x:v>
      </x:c>
      <x:c r="J23" s="4"/>
      <x:c r="K23" s="4"/>
      <x:c r="L23" s="4"/>
      <x:c r="M23" s="4"/>
    </x:row>
    <x:row r="24" ht="22" customHeight="1">
      <x:c r="A24" s="2"/>
      <x:c r="B24" s="2"/>
      <x:c r="C24" s="9" t="str">
        <x:v>Baseline taper</x:v>
      </x:c>
      <x:c r="D24" s="2"/>
      <x:c r="E24" s="54" t="n">
        <x:v>0.095</x:v>
      </x:c>
      <x:c r="F24" s="54" t="n">
        <x:v>0.105</x:v>
      </x:c>
      <x:c r="G24" s="54" t="n">
        <x:v>0.115</x:v>
      </x:c>
      <x:c r="H24" s="54" t="n">
        <x:v>0.125</x:v>
      </x:c>
      <x:c r="I24" s="54" t="n">
        <x:v>0.135</x:v>
      </x:c>
      <x:c r="J24" s="4"/>
      <x:c r="K24" s="4"/>
      <x:c r="L24" s="4"/>
      <x:c r="M24" s="4"/>
    </x:row>
    <x:row r="25" ht="22" customHeight="1">
      <x:c r="A25" s="2"/>
      <x:c r="B25" s="2"/>
      <x:c r="C25" s="9" t="str">
        <x:v>Bear case</x:v>
      </x:c>
      <x:c r="D25" s="2"/>
      <x:c r="E25" s="54" t="n">
        <x:v>0.06</x:v>
      </x:c>
      <x:c r="F25" s="54" t="n">
        <x:v>0.06</x:v>
      </x:c>
      <x:c r="G25" s="54" t="n">
        <x:v>0.06</x:v>
      </x:c>
      <x:c r="H25" s="54" t="n">
        <x:v>0.06</x:v>
      </x:c>
      <x:c r="I25" s="54" t="n">
        <x:v>0.06</x:v>
      </x:c>
      <x:c r="J25" s="4"/>
      <x:c r="K25" s="4"/>
      <x:c r="L25" s="4"/>
      <x:c r="M25" s="4"/>
    </x:row>
    <x:row r="26" ht="22" customHeight="1">
      <x:c r="A26" s="2"/>
      <x:c r="B26" s="2"/>
      <x:c r="C26" s="9" t="str">
        <x:v>Flat CapEx</x:v>
      </x:c>
      <x:c r="D26" s="2"/>
      <x:c r="E26" s="54" t="n">
        <x:v>0.095</x:v>
      </x:c>
      <x:c r="F26" s="54" t="n">
        <x:v>0.105</x:v>
      </x:c>
      <x:c r="G26" s="54" t="n">
        <x:v>0.115</x:v>
      </x:c>
      <x:c r="H26" s="54" t="n">
        <x:v>0.125</x:v>
      </x:c>
      <x:c r="I26" s="54" t="n">
        <x:v>0.135</x:v>
      </x:c>
      <x:c r="J26" s="4"/>
      <x:c r="K26" s="4"/>
      <x:c r="L26" s="4"/>
      <x:c r="M26" s="4"/>
    </x:row>
    <x:row r="27" ht="22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2" customHeight="1">
      <x:c r="A28" s="2"/>
      <x:c r="B28" s="2"/>
      <x:c r="C28" s="39" t="str">
        <x:v>CapEx / revenue</x:v>
      </x:c>
      <x:c r="D28" s="40"/>
      <x:c r="E28" s="52" t="str">
        <x:v>Year 1</x:v>
      </x:c>
      <x:c r="F28" s="52" t="str">
        <x:v>Year 2</x:v>
      </x:c>
      <x:c r="G28" s="52" t="str">
        <x:v>Year 3</x:v>
      </x:c>
      <x:c r="H28" s="52" t="str">
        <x:v>Year 4</x:v>
      </x:c>
      <x:c r="I28" s="52" t="str">
        <x:v>Year 5</x:v>
      </x:c>
      <x:c r="J28" s="4"/>
      <x:c r="K28" s="4"/>
      <x:c r="L28" s="4"/>
      <x:c r="M28" s="4"/>
    </x:row>
    <x:row r="29" ht="22" customHeight="1">
      <x:c r="A29" s="2"/>
      <x:c r="B29" s="2"/>
      <x:c r="C29" s="45" t="str">
        <x:v>Active Selection</x:v>
      </x:c>
      <x:c r="D29" s="46"/>
      <x:c r="E29" s="67" t="n">
        <x:f>CHOOSE($E$5,IF(E30="",NA(),E30),IF(E31="",NA(),E31),IF(E32="",NA(),E32))</x:f>
        <x:v>0.075</x:v>
      </x:c>
      <x:c r="F29" s="67" t="n">
        <x:f>CHOOSE($E$5,IF(F30="",NA(),F30),IF(F31="",NA(),F31),IF(F32="",NA(),F32))</x:f>
        <x:v>0.075</x:v>
      </x:c>
      <x:c r="G29" s="67" t="n">
        <x:f>CHOOSE($E$5,IF(G30="",NA(),G30),IF(G31="",NA(),G31),IF(G32="",NA(),G32))</x:f>
        <x:v>0.0725</x:v>
      </x:c>
      <x:c r="H29" s="67" t="n">
        <x:f>CHOOSE($E$5,IF(H30="",NA(),H30),IF(H31="",NA(),H31),IF(H32="",NA(),H32))</x:f>
        <x:v>0.07</x:v>
      </x:c>
      <x:c r="I29" s="67" t="n">
        <x:f>CHOOSE($E$5,IF(I30="",NA(),I30),IF(I31="",NA(),I31),IF(I32="",NA(),I32))</x:f>
        <x:v>0.0675</x:v>
      </x:c>
      <x:c r="J29" s="4"/>
      <x:c r="K29" s="4"/>
      <x:c r="L29" s="4"/>
      <x:c r="M29" s="4"/>
    </x:row>
    <x:row r="30" ht="22" customHeight="1">
      <x:c r="A30" s="2"/>
      <x:c r="B30" s="2"/>
      <x:c r="C30" s="9" t="str">
        <x:v>Baseline taper</x:v>
      </x:c>
      <x:c r="D30" s="2"/>
      <x:c r="E30" s="68" t="n">
        <x:v>0.075</x:v>
      </x:c>
      <x:c r="F30" s="68" t="n">
        <x:v>0.075</x:v>
      </x:c>
      <x:c r="G30" s="68" t="n">
        <x:v>0.0725</x:v>
      </x:c>
      <x:c r="H30" s="68" t="n">
        <x:v>0.07</x:v>
      </x:c>
      <x:c r="I30" s="68" t="n">
        <x:v>0.0675</x:v>
      </x:c>
      <x:c r="J30" s="4"/>
      <x:c r="K30" s="4"/>
      <x:c r="L30" s="4"/>
      <x:c r="M30" s="4"/>
    </x:row>
    <x:row r="31" ht="22" customHeight="1">
      <x:c r="A31" s="2"/>
      <x:c r="B31" s="2"/>
      <x:c r="C31" s="9" t="str">
        <x:v>Bear case</x:v>
      </x:c>
      <x:c r="D31" s="2"/>
      <x:c r="E31" s="68" t="n">
        <x:v>0.065</x:v>
      </x:c>
      <x:c r="F31" s="68" t="n">
        <x:v>0.065</x:v>
      </x:c>
      <x:c r="G31" s="68" t="n">
        <x:v>0.065</x:v>
      </x:c>
      <x:c r="H31" s="68" t="n">
        <x:v>0.065</x:v>
      </x:c>
      <x:c r="I31" s="68" t="n">
        <x:v>0.065</x:v>
      </x:c>
      <x:c r="J31" s="4"/>
      <x:c r="K31" s="4"/>
      <x:c r="L31" s="4"/>
      <x:c r="M31" s="4"/>
    </x:row>
    <x:row r="32" ht="22" customHeight="1">
      <x:c r="A32" s="2"/>
      <x:c r="B32" s="2"/>
      <x:c r="C32" s="9" t="str">
        <x:v>Flat CapEx</x:v>
      </x:c>
      <x:c r="D32" s="2"/>
      <x:c r="E32" s="68" t="n">
        <x:v>0.075</x:v>
      </x:c>
      <x:c r="F32" s="68" t="n">
        <x:v>0.075</x:v>
      </x:c>
      <x:c r="G32" s="68" t="n">
        <x:v>0.075</x:v>
      </x:c>
      <x:c r="H32" s="68" t="n">
        <x:v>0.075</x:v>
      </x:c>
      <x:c r="I32" s="68" t="n">
        <x:v>0.075</x:v>
      </x:c>
      <x:c r="J32" s="4"/>
      <x:c r="K32" s="4"/>
      <x:c r="L32" s="4"/>
      <x:c r="M32" s="4"/>
    </x:row>
    <x:row r="33" ht="22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2" customHeight="1">
      <x:c r="A34" s="2"/>
      <x:c r="B34" s="2"/>
      <x:c r="C34" s="39" t="str">
        <x:v>Terminal growth</x:v>
      </x:c>
      <x:c r="D34" s="40"/>
      <x:c r="E34" s="41"/>
      <x:c r="F34" s="41"/>
      <x:c r="G34" s="41"/>
      <x:c r="H34" s="41"/>
      <x:c r="I34" s="41"/>
      <x:c r="J34" s="4"/>
      <x:c r="K34" s="4"/>
      <x:c r="L34" s="4"/>
      <x:c r="M34" s="4"/>
    </x:row>
    <x:row r="35" ht="22" customHeight="1">
      <x:c r="A35" s="2"/>
      <x:c r="B35" s="2"/>
      <x:c r="C35" s="45" t="str">
        <x:v>Active Selection</x:v>
      </x:c>
      <x:c r="D35" s="46"/>
      <x:c r="E35" s="55" t="n">
        <x:f>CHOOSE($E$5,IF(E36="",NA(),E36),IF(E37="",NA(),E37),IF(E38="",NA(),E38))</x:f>
        <x:v>0.025</x:v>
      </x:c>
      <x:c r="F35" s="47"/>
      <x:c r="G35" s="47"/>
      <x:c r="H35" s="47"/>
      <x:c r="I35" s="47"/>
      <x:c r="J35" s="4"/>
      <x:c r="K35" s="4"/>
      <x:c r="L35" s="4"/>
      <x:c r="M35" s="4"/>
    </x:row>
    <x:row r="36" ht="22" customHeight="1">
      <x:c r="A36" s="2"/>
      <x:c r="B36" s="2"/>
      <x:c r="C36" s="9" t="str">
        <x:v>Baseline taper</x:v>
      </x:c>
      <x:c r="D36" s="2"/>
      <x:c r="E36" s="54" t="n">
        <x:v>0.025</x:v>
      </x:c>
      <x:c r="F36" s="4"/>
      <x:c r="G36" s="4"/>
      <x:c r="H36" s="4"/>
      <x:c r="I36" s="4"/>
      <x:c r="J36" s="4"/>
      <x:c r="K36" s="4"/>
      <x:c r="L36" s="4"/>
      <x:c r="M36" s="4"/>
    </x:row>
    <x:row r="37" ht="22" customHeight="1">
      <x:c r="A37" s="2"/>
      <x:c r="B37" s="2"/>
      <x:c r="C37" s="9" t="str">
        <x:v>Bear case</x:v>
      </x:c>
      <x:c r="D37" s="2"/>
      <x:c r="E37" s="54" t="n">
        <x:v>0.02</x:v>
      </x:c>
      <x:c r="F37" s="4"/>
      <x:c r="G37" s="4"/>
      <x:c r="H37" s="4"/>
      <x:c r="I37" s="4"/>
      <x:c r="J37" s="4"/>
      <x:c r="K37" s="4"/>
      <x:c r="L37" s="4"/>
      <x:c r="M37" s="4"/>
    </x:row>
    <x:row r="38" ht="22" customHeight="1">
      <x:c r="A38" s="2"/>
      <x:c r="B38" s="2"/>
      <x:c r="C38" s="9" t="str">
        <x:v>Flat CapEx</x:v>
      </x:c>
      <x:c r="D38" s="2"/>
      <x:c r="E38" s="54" t="n">
        <x:v>0.025</x:v>
      </x:c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39" t="str">
        <x:v>Shared DCF inputs</x:v>
      </x:c>
      <x:c r="D41" s="40"/>
      <x:c r="E41" s="41"/>
      <x:c r="F41" s="41"/>
      <x:c r="G41" s="41"/>
      <x:c r="H41" s="41"/>
      <x:c r="I41" s="41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9" t="str">
        <x:v>WACC</x:v>
      </x:c>
      <x:c r="D43" s="2"/>
      <x:c r="E43" s="68" t="n">
        <x:v>0.1145</x:v>
      </x:c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9" t="str">
        <x:v>Cash tax rate</x:v>
      </x:c>
      <x:c r="D44" s="2"/>
      <x:c r="E44" s="54" t="n">
        <x:v>0.21</x:v>
      </x:c>
      <x:c r="F44" s="4"/>
      <x:c r="G44" s="4"/>
      <x:c r="H44" s="4"/>
      <x:c r="I44" s="4"/>
      <x:c r="J44" s="4"/>
      <x:c r="K44" s="4"/>
      <x:c r="L44" s="4"/>
      <x:c r="M44" s="4"/>
    </x:row>
    <x:row r="45" ht="22" customHeight="1">
      <x:c r="A45" s="2"/>
      <x:c r="B45" s="2"/>
      <x:c r="C45" s="9" t="str">
        <x:v>D&amp;A / revenue</x:v>
      </x:c>
      <x:c r="D45" s="2"/>
      <x:c r="E45" s="54" t="n">
        <x:v>0.048</x:v>
      </x:c>
      <x:c r="F45" s="4"/>
      <x:c r="G45" s="4"/>
      <x:c r="H45" s="4"/>
      <x:c r="I45" s="4"/>
      <x:c r="J45" s="4"/>
      <x:c r="K45" s="4"/>
      <x:c r="L45" s="4"/>
      <x:c r="M45" s="4"/>
    </x:row>
    <x:row r="46" ht="22" customHeight="1">
      <x:c r="A46" s="2"/>
      <x:c r="B46" s="2"/>
      <x:c r="C46" s="9" t="str">
        <x:v>NWC / change in revenue</x:v>
      </x:c>
      <x:c r="D46" s="2"/>
      <x:c r="E46" s="54" t="n">
        <x:v>0.03</x:v>
      </x:c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9" t="str">
        <x:v>Cash and investments (USD M)</x:v>
      </x:c>
      <x:c r="D47" s="2"/>
      <x:c r="E47" s="49" t="n">
        <x:v>33650</x:v>
      </x:c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9" t="str">
        <x:v>Debt (USD M)</x:v>
      </x:c>
      <x:c r="D48" s="2"/>
      <x:c r="E48" s="49" t="n">
        <x:v>5750</x:v>
      </x:c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9" t="str">
        <x:v>Diluted shares (millions)</x:v>
      </x:c>
      <x:c r="D49" s="2"/>
      <x:c r="E49" s="27" t="n">
        <x:v>3180</x:v>
      </x:c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9" t="str">
        <x:v>Mid-year discount adjustment (years)</x:v>
      </x:c>
      <x:c r="D50" s="2"/>
      <x:c r="E50" s="57" t="n">
        <x:v>0.5</x:v>
      </x:c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39" t="str">
        <x:v>CAPM comparison inputs</x:v>
      </x:c>
      <x:c r="D53" s="40"/>
      <x:c r="E53" s="41"/>
      <x:c r="F53" s="41"/>
      <x:c r="G53" s="41"/>
      <x:c r="H53" s="41"/>
      <x:c r="I53" s="41"/>
      <x:c r="J53" s="4"/>
      <x:c r="K53" s="4"/>
      <x:c r="L53" s="4"/>
      <x:c r="M53" s="4"/>
    </x:row>
    <x:row r="54" ht="22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9" t="str">
        <x:v>Risk-free rate</x:v>
      </x:c>
      <x:c r="D55" s="2"/>
      <x:c r="E55" s="68" t="n">
        <x:v>0.0425</x:v>
      </x:c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9" t="str">
        <x:v>Equity beta</x:v>
      </x:c>
      <x:c r="D56" s="2"/>
      <x:c r="E56" s="28" t="n">
        <x:v>1.45</x:v>
      </x:c>
      <x:c r="F56" s="4"/>
      <x:c r="G56" s="4"/>
      <x:c r="H56" s="4"/>
      <x:c r="I56" s="4"/>
      <x:c r="J56" s="4"/>
      <x:c r="K56" s="4"/>
      <x:c r="L56" s="4"/>
      <x:c r="M56" s="4"/>
    </x:row>
    <x:row r="57" ht="22" customHeight="1">
      <x:c r="A57" s="2"/>
      <x:c r="B57" s="2"/>
      <x:c r="C57" s="9" t="str">
        <x:v>Equity risk premium</x:v>
      </x:c>
      <x:c r="D57" s="2"/>
      <x:c r="E57" s="54" t="n">
        <x:v>0.05</x:v>
      </x:c>
      <x:c r="F57" s="4"/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9" t="str">
        <x:v>Pretax debt cost</x:v>
      </x:c>
      <x:c r="D58" s="2"/>
      <x:c r="E58" s="54" t="n">
        <x:v>0.055</x:v>
      </x:c>
      <x:c r="F58" s="4"/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9" t="str">
        <x:v>Equity weight</x:v>
      </x:c>
      <x:c r="D59" s="2"/>
      <x:c r="E59" s="54" t="n">
        <x:v>0.99</x:v>
      </x:c>
      <x:c r="F59" s="4"/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9" t="str">
        <x:v>Debt weight</x:v>
      </x:c>
      <x:c r="D60" s="2"/>
      <x:c r="E60" s="54" t="n">
        <x:v>0.01</x:v>
      </x:c>
      <x:c r="F60" s="4"/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22" customHeight="1">
      <x:c r="A63" s="2"/>
      <x:c r="B63" s="2"/>
      <x:c r="C63" s="39" t="str">
        <x:v>Software and compute scenario inputs</x:v>
      </x:c>
      <x:c r="D63" s="40"/>
      <x:c r="E63" s="41"/>
      <x:c r="F63" s="41"/>
      <x:c r="G63" s="41"/>
      <x:c r="H63" s="41"/>
      <x:c r="I63" s="41"/>
      <x:c r="J63" s="4"/>
      <x:c r="K63" s="4"/>
      <x:c r="L63" s="4"/>
      <x:c r="M63" s="4"/>
    </x:row>
    <x:row r="64" ht="22" customHeight="1">
      <x:c r="A64" s="2"/>
      <x:c r="B64" s="2"/>
      <x:c r="C64" s="9" t="str">
        <x:v>Active fleet (million vehicles)</x:v>
      </x:c>
      <x:c r="D64" s="2"/>
      <x:c r="E64" s="27" t="n">
        <x:v>18</x:v>
      </x:c>
      <x:c r="F64" s="4"/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9" t="str">
        <x:v>Software UFCF conversion</x:v>
      </x:c>
      <x:c r="D65" s="2"/>
      <x:c r="E65" s="54" t="n">
        <x:v>0.52</x:v>
      </x:c>
      <x:c r="F65" s="4"/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9" t="str">
        <x:v>EV / Year 5 software UFCF</x:v>
      </x:c>
      <x:c r="D66" s="2"/>
      <x:c r="E66" s="60" t="n">
        <x:v>10.44</x:v>
      </x:c>
      <x:c r="F66" s="4"/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9" t="str">
        <x:v>Illustrative target price (USD)</x:v>
      </x:c>
      <x:c r="D67" s="2"/>
      <x:c r="E67" s="62" t="n">
        <x:v>200</x:v>
      </x:c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9" t="str">
        <x:v>Monthly revenue per subscriber (USD)</x:v>
      </x:c>
      <x:c r="D68" s="2"/>
      <x:c r="E68" s="62" t="n">
        <x:v>99</x:v>
      </x:c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9" t="str">
        <x:v>Paying adoption</x:v>
      </x:c>
      <x:c r="D69" s="2"/>
      <x:c r="E69" s="54" t="n">
        <x:v>0.3</x:v>
      </x:c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9" t="str">
        <x:v>Annual compute budget (USD M)</x:v>
      </x:c>
      <x:c r="D70" s="2"/>
      <x:c r="E70" s="49" t="n">
        <x:v>4500</x:v>
      </x:c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9" t="str">
        <x:v>Robotaxi fleet (million vehicles)</x:v>
      </x:c>
      <x:c r="D71" s="2"/>
      <x:c r="E71" s="27" t="n">
        <x:v>2</x:v>
      </x:c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9" t="str">
        <x:v>Annual miles per robotaxi</x:v>
      </x:c>
      <x:c r="D72" s="2"/>
      <x:c r="E72" s="64" t="n">
        <x:v>45000</x:v>
      </x:c>
      <x:c r="F72" s="4"/>
      <x:c r="G72" s="4"/>
      <x:c r="H72" s="4"/>
      <x:c r="I72" s="4"/>
      <x:c r="J72" s="4"/>
      <x:c r="K72" s="4"/>
      <x:c r="L72" s="4"/>
      <x:c r="M72" s="4"/>
    </x:row>
    <x:row r="73" ht="22" customHeight="1">
      <x:c r="A73" s="2"/>
      <x:c r="B73" s="2"/>
      <x:c r="C73" s="9" t="str">
        <x:v>Vehicle COGS assumption (USD)</x:v>
      </x:c>
      <x:c r="D73" s="2"/>
      <x:c r="E73" s="66" t="n">
        <x:v>36000</x:v>
      </x:c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14" t="str">
        <x:v>Forecast periods are relative years because the supplied report has no consistent forward valuation date.</x:v>
      </x:c>
      <x:c r="D76" s="2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14" t="str">
        <x:v>Baseline CapEx follows numeric forecast rows; Flat CapEx follows the stated 7.5% label.</x:v>
      </x:c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14" t="str">
        <x:v>Year 0 revenue is inferred from source Year 1 revenue and growth. Cash and debt are forward assumptions.</x:v>
      </x:c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14" t="str">
        <x:v>The reported 11.45% WACC is used; CAPM is shown separately in DCF.</x:v>
      </x:c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14" t="str">
        <x:v>Source: supplied Tesla report and Tesla_Financial_Analysis.ipynb (edition 30 March 2022).</x:v>
      </x:c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14" t="str">
        <x:v>Source inputs and forecasts are illustrative and have not been independently verified.</x:v>
      </x:c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dataValidations count="1">
    <x:dataValidation type="whole" operator="between" sqref="E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Discounted cash flow valuation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6"/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USD millions except per-share values. Relative forecast years.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Selected:</x:v>
      </x:c>
      <x:c r="D5" s="2"/>
      <x:c r="E5" s="12" t="str">
        <x:f>Assumptions!G5</x:f>
        <x:v>Baseline taper</x:v>
      </x:c>
      <x:c r="F5" s="4"/>
      <x:c r="G5" s="4"/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2"/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6" customHeight="1">
      <x:c r="A7" s="2"/>
      <x:c r="B7" s="2"/>
      <x:c r="C7" s="24" t="str">
        <x:v>Forecast year</x:v>
      </x:c>
      <x:c r="D7" s="24"/>
      <x:c r="E7" s="101" t="n">
        <x:v>1</x:v>
      </x:c>
      <x:c r="F7" s="101" t="n">
        <x:v>2</x:v>
      </x:c>
      <x:c r="G7" s="101" t="n">
        <x:v>3</x:v>
      </x:c>
      <x:c r="H7" s="101" t="n">
        <x:v>4</x:v>
      </x:c>
      <x:c r="I7" s="101" t="n">
        <x:v>5</x:v>
      </x:c>
      <x:c r="J7" s="4"/>
      <x:c r="K7" s="4"/>
      <x:c r="L7" s="4"/>
      <x:c r="M7" s="4"/>
    </x:row>
    <x:row r="8" ht="22" customHeight="1">
      <x:c r="A8" s="2"/>
      <x:c r="B8" s="2"/>
      <x:c r="C8" s="71" t="str">
        <x:v>Revenue growth</x:v>
      </x:c>
      <x:c r="D8" s="13"/>
      <x:c r="E8" s="105" t="n">
        <x:f>Assumptions!E17</x:f>
        <x:v>0.14</x:v>
      </x:c>
      <x:c r="F8" s="105" t="n">
        <x:f>Assumptions!F17</x:f>
        <x:v>0.15</x:v>
      </x:c>
      <x:c r="G8" s="105" t="n">
        <x:f>Assumptions!G17</x:f>
        <x:v>0.14</x:v>
      </x:c>
      <x:c r="H8" s="105" t="n">
        <x:f>Assumptions!H17</x:f>
        <x:v>0.13</x:v>
      </x:c>
      <x:c r="I8" s="105" t="n">
        <x:f>Assumptions!I17</x:f>
        <x:v>0.12</x:v>
      </x:c>
      <x:c r="J8" s="4"/>
      <x:c r="K8" s="4"/>
      <x:c r="L8" s="4"/>
      <x:c r="M8" s="4"/>
    </x:row>
    <x:row r="9" ht="22" customHeight="1">
      <x:c r="A9" s="2"/>
      <x:c r="B9" s="2"/>
      <x:c r="C9" s="77" t="str">
        <x:v>Revenue</x:v>
      </x:c>
      <x:c r="D9" s="78"/>
      <x:c r="E9" s="108" t="n">
        <x:f>IF(E8&gt;-1,$E$25*(1+E8),NA())</x:f>
        <x:v>110000.00000000003</x:v>
      </x:c>
      <x:c r="F9" s="108" t="n">
        <x:f>IF(F8&gt;-1,E9*(1+F8),NA())</x:f>
        <x:v>126500.00000000003</x:v>
      </x:c>
      <x:c r="G9" s="108" t="n">
        <x:f>IF(G8&gt;-1,F9*(1+G8),NA())</x:f>
        <x:v>144210.00000000006</x:v>
      </x:c>
      <x:c r="H9" s="108" t="n">
        <x:f>IF(H8&gt;-1,G9*(1+H8),NA())</x:f>
        <x:v>162957.30000000005</x:v>
      </x:c>
      <x:c r="I9" s="108" t="n">
        <x:f>IF(I8&gt;-1,H9*(1+I8),NA())</x:f>
        <x:v>182512.17600000006</x:v>
      </x:c>
      <x:c r="J9" s="4"/>
      <x:c r="K9" s="4"/>
      <x:c r="L9" s="4"/>
      <x:c r="M9" s="4"/>
    </x:row>
    <x:row r="10" ht="22" customHeight="1">
      <x:c r="A10" s="2"/>
      <x:c r="B10" s="2"/>
      <x:c r="C10" s="71" t="str">
        <x:v>EBIT margin</x:v>
      </x:c>
      <x:c r="D10" s="13"/>
      <x:c r="E10" s="105" t="n">
        <x:f>Assumptions!E23</x:f>
        <x:v>0.095</x:v>
      </x:c>
      <x:c r="F10" s="105" t="n">
        <x:f>Assumptions!F23</x:f>
        <x:v>0.105</x:v>
      </x:c>
      <x:c r="G10" s="105" t="n">
        <x:f>Assumptions!G23</x:f>
        <x:v>0.115</x:v>
      </x:c>
      <x:c r="H10" s="105" t="n">
        <x:f>Assumptions!H23</x:f>
        <x:v>0.125</x:v>
      </x:c>
      <x:c r="I10" s="105" t="n">
        <x:f>Assumptions!I23</x:f>
        <x:v>0.135</x:v>
      </x:c>
      <x:c r="J10" s="4"/>
      <x:c r="K10" s="4"/>
      <x:c r="L10" s="4"/>
      <x:c r="M10" s="4"/>
    </x:row>
    <x:row r="11" ht="22" customHeight="1">
      <x:c r="A11" s="2"/>
      <x:c r="B11" s="2"/>
      <x:c r="C11" s="9" t="str">
        <x:v>EBIT</x:v>
      </x:c>
      <x:c r="D11" s="2"/>
      <x:c r="E11" s="32" t="n">
        <x:f>E9*E10</x:f>
        <x:v>10450.000000000004</x:v>
      </x:c>
      <x:c r="F11" s="32" t="n">
        <x:f>F9*F10</x:f>
        <x:v>13282.500000000002</x:v>
      </x:c>
      <x:c r="G11" s="32" t="n">
        <x:f>G9*G10</x:f>
        <x:v>16584.15000000001</x:v>
      </x:c>
      <x:c r="H11" s="32" t="n">
        <x:f>H9*H10</x:f>
        <x:v>20369.662500000006</x:v>
      </x:c>
      <x:c r="I11" s="32" t="n">
        <x:f>I9*I10</x:f>
        <x:v>24639.14376000001</x:v>
      </x:c>
      <x:c r="J11" s="4"/>
      <x:c r="K11" s="4"/>
      <x:c r="L11" s="4"/>
      <x:c r="M11" s="4"/>
    </x:row>
    <x:row r="12" ht="22" customHeight="1">
      <x:c r="A12" s="2"/>
      <x:c r="B12" s="2"/>
      <x:c r="C12" s="9" t="str">
        <x:v>Cash taxes</x:v>
      </x:c>
      <x:c r="D12" s="2"/>
      <x:c r="E12" s="32" t="n">
        <x:f>MAX(E11,0)*$E$26</x:f>
        <x:v>2194.500000000001</x:v>
      </x:c>
      <x:c r="F12" s="32" t="n">
        <x:f>MAX(F11,0)*$E$26</x:f>
        <x:v>2789.3250000000003</x:v>
      </x:c>
      <x:c r="G12" s="32" t="n">
        <x:f>MAX(G11,0)*$E$26</x:f>
        <x:v>3482.6715000000017</x:v>
      </x:c>
      <x:c r="H12" s="32" t="n">
        <x:f>MAX(H11,0)*$E$26</x:f>
        <x:v>4277.629125000001</x:v>
      </x:c>
      <x:c r="I12" s="32" t="n">
        <x:f>MAX(I11,0)*$E$26</x:f>
        <x:v>5174.2201896000015</x:v>
      </x:c>
      <x:c r="J12" s="4"/>
      <x:c r="K12" s="4"/>
      <x:c r="L12" s="4"/>
      <x:c r="M12" s="4"/>
    </x:row>
    <x:row r="13" ht="22" customHeight="1">
      <x:c r="A13" s="2"/>
      <x:c r="B13" s="2"/>
      <x:c r="C13" s="77" t="str">
        <x:v>NOPAT</x:v>
      </x:c>
      <x:c r="D13" s="78"/>
      <x:c r="E13" s="79" t="n">
        <x:f>E11-E12</x:f>
        <x:v>8255.500000000004</x:v>
      </x:c>
      <x:c r="F13" s="79" t="n">
        <x:f>F11-F12</x:f>
        <x:v>10493.175000000001</x:v>
      </x:c>
      <x:c r="G13" s="79" t="n">
        <x:f>G11-G12</x:f>
        <x:v>13101.478500000007</x:v>
      </x:c>
      <x:c r="H13" s="79" t="n">
        <x:f>H11-H12</x:f>
        <x:v>16092.033375000005</x:v>
      </x:c>
      <x:c r="I13" s="79" t="n">
        <x:f>I11-I12</x:f>
        <x:v>19464.92357040001</x:v>
      </x:c>
      <x:c r="J13" s="4"/>
      <x:c r="K13" s="4"/>
      <x:c r="L13" s="4"/>
      <x:c r="M13" s="4"/>
    </x:row>
    <x:row r="14" ht="22" customHeight="1">
      <x:c r="A14" s="2"/>
      <x:c r="B14" s="2"/>
      <x:c r="C14" s="9" t="str">
        <x:v>Depreciation and amortization</x:v>
      </x:c>
      <x:c r="D14" s="2"/>
      <x:c r="E14" s="32" t="n">
        <x:f>E9*$E$27</x:f>
        <x:v>5280.000000000002</x:v>
      </x:c>
      <x:c r="F14" s="32" t="n">
        <x:f>F9*$E$27</x:f>
        <x:v>6072.000000000002</x:v>
      </x:c>
      <x:c r="G14" s="32" t="n">
        <x:f>G9*$E$27</x:f>
        <x:v>6922.080000000003</x:v>
      </x:c>
      <x:c r="H14" s="32" t="n">
        <x:f>H9*$E$27</x:f>
        <x:v>7821.950400000002</x:v>
      </x:c>
      <x:c r="I14" s="32" t="n">
        <x:f>I9*$E$27</x:f>
        <x:v>8760.584448000003</x:v>
      </x:c>
      <x:c r="J14" s="4"/>
      <x:c r="K14" s="4"/>
      <x:c r="L14" s="4"/>
      <x:c r="M14" s="4"/>
    </x:row>
    <x:row r="15" ht="22" customHeight="1">
      <x:c r="A15" s="2"/>
      <x:c r="B15" s="2"/>
      <x:c r="C15" s="71" t="str">
        <x:v>CapEx / revenue</x:v>
      </x:c>
      <x:c r="D15" s="13"/>
      <x:c r="E15" s="124" t="n">
        <x:f>Assumptions!E29</x:f>
        <x:v>0.075</x:v>
      </x:c>
      <x:c r="F15" s="124" t="n">
        <x:f>Assumptions!F29</x:f>
        <x:v>0.075</x:v>
      </x:c>
      <x:c r="G15" s="124" t="n">
        <x:f>Assumptions!G29</x:f>
        <x:v>0.0725</x:v>
      </x:c>
      <x:c r="H15" s="124" t="n">
        <x:f>Assumptions!H29</x:f>
        <x:v>0.07</x:v>
      </x:c>
      <x:c r="I15" s="124" t="n">
        <x:f>Assumptions!I29</x:f>
        <x:v>0.0675</x:v>
      </x:c>
      <x:c r="J15" s="4"/>
      <x:c r="K15" s="4"/>
      <x:c r="L15" s="4"/>
      <x:c r="M15" s="4"/>
    </x:row>
    <x:row r="16" ht="22" customHeight="1">
      <x:c r="A16" s="2"/>
      <x:c r="B16" s="2"/>
      <x:c r="C16" s="9" t="str">
        <x:v>Capital expenditure</x:v>
      </x:c>
      <x:c r="D16" s="2"/>
      <x:c r="E16" s="32" t="n">
        <x:f>E9*E15</x:f>
        <x:v>8250.000000000002</x:v>
      </x:c>
      <x:c r="F16" s="32" t="n">
        <x:f>F9*F15</x:f>
        <x:v>9487.500000000002</x:v>
      </x:c>
      <x:c r="G16" s="32" t="n">
        <x:f>G9*G15</x:f>
        <x:v>10455.225000000004</x:v>
      </x:c>
      <x:c r="H16" s="32" t="n">
        <x:f>H9*H15</x:f>
        <x:v>11407.011000000004</x:v>
      </x:c>
      <x:c r="I16" s="32" t="n">
        <x:f>I9*I15</x:f>
        <x:v>12319.571880000005</x:v>
      </x:c>
      <x:c r="J16" s="4"/>
      <x:c r="K16" s="4"/>
      <x:c r="L16" s="4"/>
      <x:c r="M16" s="4"/>
    </x:row>
    <x:row r="17" ht="22" customHeight="1">
      <x:c r="A17" s="2"/>
      <x:c r="B17" s="2"/>
      <x:c r="C17" s="9" t="str">
        <x:v>Change in net working capital</x:v>
      </x:c>
      <x:c r="D17" s="2"/>
      <x:c r="E17" s="32" t="n">
        <x:f>(E9-$E$25)*$E$28</x:f>
        <x:v>405.2631578947374</x:v>
      </x:c>
      <x:c r="F17" s="32" t="n">
        <x:f>(F9-E9)*$E$28</x:f>
        <x:v>495</x:v>
      </x:c>
      <x:c r="G17" s="32" t="n">
        <x:f>(G9-F9)*$E$28</x:f>
        <x:v>531.3000000000009</x:v>
      </x:c>
      <x:c r="H17" s="32" t="n">
        <x:f>(H9-G9)*$E$28</x:f>
        <x:v>562.4189999999996</x:v>
      </x:c>
      <x:c r="I17" s="32" t="n">
        <x:f>(I9-H9)*$E$28</x:f>
        <x:v>586.6462800000005</x:v>
      </x:c>
      <x:c r="J17" s="4"/>
      <x:c r="K17" s="4"/>
      <x:c r="L17" s="4"/>
      <x:c r="M17" s="4"/>
    </x:row>
    <x:row r="18" ht="22" customHeight="1">
      <x:c r="A18" s="2"/>
      <x:c r="B18" s="2"/>
      <x:c r="C18" s="77" t="str">
        <x:v>Unlevered free cash flow</x:v>
      </x:c>
      <x:c r="D18" s="78"/>
      <x:c r="E18" s="108" t="n">
        <x:f>SUM(E13:E14)-SUM(E16:E17)</x:f>
        <x:v>4880.236842105267</x:v>
      </x:c>
      <x:c r="F18" s="108" t="n">
        <x:f>SUM(F13:F14)-SUM(F16:F17)</x:f>
        <x:v>6582.675000000001</x:v>
      </x:c>
      <x:c r="G18" s="108" t="n">
        <x:f>SUM(G13:G14)-SUM(G16:G17)</x:f>
        <x:v>9037.033500000005</x:v>
      </x:c>
      <x:c r="H18" s="108" t="n">
        <x:f>SUM(H13:H14)-SUM(H16:H17)</x:f>
        <x:v>11944.553775000004</x:v>
      </x:c>
      <x:c r="I18" s="108" t="n">
        <x:f>SUM(I13:I14)-SUM(I16:I17)</x:f>
        <x:v>15319.289858400005</x:v>
      </x:c>
      <x:c r="J18" s="4"/>
      <x:c r="K18" s="4"/>
      <x:c r="L18" s="4"/>
      <x:c r="M18" s="4"/>
    </x:row>
    <x:row r="19" ht="22" customHeight="1">
      <x:c r="A19" s="2"/>
      <x:c r="B19" s="2"/>
      <x:c r="C19" s="9" t="str">
        <x:v>Discount period (years)</x:v>
      </x:c>
      <x:c r="D19" s="2"/>
      <x:c r="E19" s="103" t="n">
        <x:f>E7-Assumptions!$E$50</x:f>
        <x:v>0.5</x:v>
      </x:c>
      <x:c r="F19" s="103" t="n">
        <x:f>F7-Assumptions!$E$50</x:f>
        <x:v>1.5</x:v>
      </x:c>
      <x:c r="G19" s="103" t="n">
        <x:f>G7-Assumptions!$E$50</x:f>
        <x:v>2.5</x:v>
      </x:c>
      <x:c r="H19" s="103" t="n">
        <x:f>H7-Assumptions!$E$50</x:f>
        <x:v>3.5</x:v>
      </x:c>
      <x:c r="I19" s="103" t="n">
        <x:f>I7-Assumptions!$E$50</x:f>
        <x:v>4.5</x:v>
      </x:c>
      <x:c r="J19" s="4"/>
      <x:c r="K19" s="4"/>
      <x:c r="L19" s="4"/>
      <x:c r="M19" s="4"/>
    </x:row>
    <x:row r="20" ht="22" customHeight="1">
      <x:c r="A20" s="2"/>
      <x:c r="B20" s="2"/>
      <x:c r="C20" s="71" t="str">
        <x:v>Present-value factor</x:v>
      </x:c>
      <x:c r="D20" s="13"/>
      <x:c r="E20" s="106" t="n">
        <x:f>1/(1+$E$29)^E19</x:f>
        <x:v>0.9472398570543172</x:v>
      </x:c>
      <x:c r="F20" s="106" t="n">
        <x:f>1/(1+$E$29)^F19</x:f>
        <x:v>0.849923604355601</x:v>
      </x:c>
      <x:c r="G20" s="106" t="n">
        <x:f>1/(1+$E$29)^G19</x:f>
        <x:v>0.7626052977618671</x:v>
      </x:c>
      <x:c r="H20" s="106" t="n">
        <x:f>1/(1+$E$29)^H19</x:f>
        <x:v>0.6842577817513389</x:v>
      </x:c>
      <x:c r="I20" s="106" t="n">
        <x:f>1/(1+$E$29)^I19</x:f>
        <x:v>0.6139594273228701</x:v>
      </x:c>
      <x:c r="J20" s="4"/>
      <x:c r="K20" s="4"/>
      <x:c r="L20" s="4"/>
      <x:c r="M20" s="4"/>
    </x:row>
    <x:row r="21" ht="22" customHeight="1">
      <x:c r="A21" s="2"/>
      <x:c r="B21" s="2"/>
      <x:c r="C21" s="77" t="str">
        <x:v>Present value of free cash flow</x:v>
      </x:c>
      <x:c r="D21" s="78"/>
      <x:c r="E21" s="108" t="n">
        <x:f>E18*E20</x:f>
        <x:v>4622.754848707005</x:v>
      </x:c>
      <x:c r="F21" s="108" t="n">
        <x:f>F18*F20</x:f>
        <x:v>5594.770862301507</x:v>
      </x:c>
      <x:c r="G21" s="108" t="n">
        <x:f>G18*G20</x:f>
        <x:v>6891.689623151472</x:v>
      </x:c>
      <x:c r="H21" s="108" t="n">
        <x:f>H18*H20</x:f>
        <x:v>8173.153870091084</x:v>
      </x:c>
      <x:c r="I21" s="108" t="n">
        <x:f>I18*I20</x:f>
        <x:v>9405.422428456319</x:v>
      </x:c>
      <x:c r="J21" s="4"/>
      <x:c r="K21" s="4"/>
      <x:c r="L21" s="4"/>
      <x:c r="M21" s="4"/>
    </x:row>
    <x:row r="22" ht="22" customHeight="1">
      <x:c r="A22" s="2"/>
      <x:c r="B22" s="2"/>
      <x:c r="C22" s="2"/>
      <x:c r="D22" s="2"/>
      <x:c r="E22" s="4"/>
      <x:c r="F22" s="4"/>
      <x:c r="G22" s="4"/>
      <x:c r="H22" s="4"/>
      <x:c r="I22" s="4"/>
      <x:c r="J22" s="4"/>
      <x:c r="K22" s="4"/>
      <x:c r="L22" s="4"/>
      <x:c r="M22" s="4"/>
    </x:row>
    <x:row r="23" ht="22" customHeight="1">
      <x:c r="A23" s="2"/>
      <x:c r="B23" s="2"/>
      <x:c r="C23" s="2"/>
      <x:c r="D23" s="2"/>
      <x:c r="E23" s="4"/>
      <x:c r="F23" s="4"/>
      <x:c r="G23" s="4"/>
      <x:c r="H23" s="4"/>
      <x:c r="I23" s="4"/>
      <x:c r="J23" s="4"/>
      <x:c r="K23" s="4"/>
      <x:c r="L23" s="4"/>
      <x:c r="M23" s="4"/>
    </x:row>
    <x:row r="24" ht="22" customHeight="1">
      <x:c r="A24" s="2"/>
      <x:c r="B24" s="2"/>
      <x:c r="C24" s="2"/>
      <x:c r="D24" s="2"/>
      <x:c r="E24" s="4"/>
      <x:c r="F24" s="4"/>
      <x:c r="G24" s="4"/>
      <x:c r="H24" s="4"/>
      <x:c r="I24" s="4"/>
      <x:c r="J24" s="4"/>
      <x:c r="K24" s="4"/>
      <x:c r="L24" s="4"/>
      <x:c r="M24" s="4"/>
    </x:row>
    <x:row r="25" ht="22" customHeight="1">
      <x:c r="A25" s="2"/>
      <x:c r="B25" s="2"/>
      <x:c r="C25" s="9" t="str">
        <x:v>Year 0 revenue</x:v>
      </x:c>
      <x:c r="D25" s="2"/>
      <x:c r="E25" s="69" t="n">
        <x:f>IF(Assumptions!E9="",NA(),Assumptions!E9)</x:f>
        <x:v>96491.22807017545</x:v>
      </x:c>
      <x:c r="F25" s="109"/>
      <x:c r="G25" s="110" t="str">
        <x:v>PV of explicit cash flow</x:v>
      </x:c>
      <x:c r="H25" s="109"/>
      <x:c r="I25" s="32" t="n">
        <x:f>SUM(E21:I21)</x:f>
        <x:v>34687.79163270738</x:v>
      </x:c>
      <x:c r="J25" s="4"/>
      <x:c r="K25" s="4"/>
      <x:c r="L25" s="4"/>
      <x:c r="M25" s="4"/>
    </x:row>
    <x:row r="26" ht="22" customHeight="1">
      <x:c r="A26" s="2"/>
      <x:c r="B26" s="2"/>
      <x:c r="C26" s="9" t="str">
        <x:v>Cash tax rate</x:v>
      </x:c>
      <x:c r="D26" s="2"/>
      <x:c r="E26" s="100" t="n">
        <x:f>IF(Assumptions!E44="",NA(),Assumptions!E44)</x:f>
        <x:v>0.21</x:v>
      </x:c>
      <x:c r="F26" s="109"/>
      <x:c r="G26" s="110" t="str">
        <x:v>Terminal cash flow</x:v>
      </x:c>
      <x:c r="H26" s="109"/>
      <x:c r="I26" s="32" t="n">
        <x:f>I18*(1+E30)</x:f>
        <x:v>15702.272104860003</x:v>
      </x:c>
      <x:c r="J26" s="4"/>
      <x:c r="K26" s="4"/>
      <x:c r="L26" s="4"/>
      <x:c r="M26" s="4"/>
    </x:row>
    <x:row r="27" ht="22" customHeight="1">
      <x:c r="A27" s="2"/>
      <x:c r="B27" s="2"/>
      <x:c r="C27" s="9" t="str">
        <x:v>D&amp;A / revenue</x:v>
      </x:c>
      <x:c r="D27" s="2"/>
      <x:c r="E27" s="100" t="n">
        <x:f>IF(Assumptions!E45="",NA(),Assumptions!E45)</x:f>
        <x:v>0.048</x:v>
      </x:c>
      <x:c r="F27" s="109"/>
      <x:c r="G27" s="110" t="str">
        <x:v>Terminal value</x:v>
      </x:c>
      <x:c r="H27" s="109"/>
      <x:c r="I27" s="32" t="n">
        <x:f>IF(E29&gt;E30,I26/(E29-E30),NA())</x:f>
        <x:v>175444.3810598883</x:v>
      </x:c>
      <x:c r="J27" s="4"/>
      <x:c r="K27" s="4"/>
      <x:c r="L27" s="4"/>
      <x:c r="M27" s="4"/>
    </x:row>
    <x:row r="28" ht="22" customHeight="1">
      <x:c r="A28" s="2"/>
      <x:c r="B28" s="2"/>
      <x:c r="C28" s="9" t="str">
        <x:v>NWC / revenue change</x:v>
      </x:c>
      <x:c r="D28" s="2"/>
      <x:c r="E28" s="100" t="n">
        <x:f>IF(Assumptions!E46="",NA(),Assumptions!E46)</x:f>
        <x:v>0.03</x:v>
      </x:c>
      <x:c r="F28" s="109"/>
      <x:c r="G28" s="110" t="str">
        <x:v>PV of terminal value</x:v>
      </x:c>
      <x:c r="H28" s="109"/>
      <x:c r="I28" s="32" t="n">
        <x:f>I27/(1+E29)^I7</x:f>
        <x:v>102032.63431936418</x:v>
      </x:c>
      <x:c r="J28" s="4"/>
      <x:c r="K28" s="4"/>
      <x:c r="L28" s="4"/>
      <x:c r="M28" s="4"/>
    </x:row>
    <x:row r="29" ht="22" customHeight="1">
      <x:c r="A29" s="2"/>
      <x:c r="B29" s="2"/>
      <x:c r="C29" s="9" t="str">
        <x:v>WACC</x:v>
      </x:c>
      <x:c r="D29" s="2"/>
      <x:c r="E29" s="125" t="n">
        <x:f>IF(Assumptions!E43="",NA(),Assumptions!E43)</x:f>
        <x:v>0.1145</x:v>
      </x:c>
      <x:c r="F29" s="109"/>
      <x:c r="G29" s="114" t="str">
        <x:v>Enterprise value</x:v>
      </x:c>
      <x:c r="H29" s="115"/>
      <x:c r="I29" s="79" t="n">
        <x:f>SUM(I25,I28)</x:f>
        <x:v>136720.42595207156</x:v>
      </x:c>
      <x:c r="J29" s="4"/>
      <x:c r="K29" s="4"/>
      <x:c r="L29" s="4"/>
      <x:c r="M29" s="4"/>
    </x:row>
    <x:row r="30" ht="22" customHeight="1">
      <x:c r="A30" s="2"/>
      <x:c r="B30" s="2"/>
      <x:c r="C30" s="9" t="str">
        <x:v>Terminal growth</x:v>
      </x:c>
      <x:c r="D30" s="2"/>
      <x:c r="E30" s="100" t="n">
        <x:f>IF(Assumptions!E35="",NA(),Assumptions!E35)</x:f>
        <x:v>0.025</x:v>
      </x:c>
      <x:c r="F30" s="109"/>
      <x:c r="G30" s="110" t="str">
        <x:v>Cash and investments</x:v>
      </x:c>
      <x:c r="H30" s="109"/>
      <x:c r="I30" s="10" t="n">
        <x:f>IF(Assumptions!E47="",NA(),Assumptions!E47)</x:f>
        <x:v>33650</x:v>
      </x:c>
      <x:c r="J30" s="4"/>
      <x:c r="K30" s="4"/>
      <x:c r="L30" s="4"/>
      <x:c r="M30" s="4"/>
    </x:row>
    <x:row r="31" ht="22" customHeight="1">
      <x:c r="A31" s="2"/>
      <x:c r="B31" s="2"/>
      <x:c r="C31" s="2"/>
      <x:c r="D31" s="2"/>
      <x:c r="E31" s="4"/>
      <x:c r="F31" s="109"/>
      <x:c r="G31" s="110" t="str">
        <x:v>Debt</x:v>
      </x:c>
      <x:c r="H31" s="109"/>
      <x:c r="I31" s="10" t="n">
        <x:f>IF(Assumptions!E48="",NA(),Assumptions!E48)</x:f>
        <x:v>5750</x:v>
      </x:c>
      <x:c r="J31" s="4"/>
      <x:c r="K31" s="4"/>
      <x:c r="L31" s="4"/>
      <x:c r="M31" s="4"/>
    </x:row>
    <x:row r="32" ht="22" customHeight="1">
      <x:c r="A32" s="2"/>
      <x:c r="B32" s="2"/>
      <x:c r="C32" s="2"/>
      <x:c r="D32" s="2"/>
      <x:c r="E32" s="4"/>
      <x:c r="F32" s="109"/>
      <x:c r="G32" s="110" t="str">
        <x:v>Net cash</x:v>
      </x:c>
      <x:c r="H32" s="109"/>
      <x:c r="I32" s="32" t="n">
        <x:f>I30-I31</x:f>
        <x:v>27900</x:v>
      </x:c>
      <x:c r="J32" s="4"/>
      <x:c r="K32" s="4"/>
      <x:c r="L32" s="4"/>
      <x:c r="M32" s="4"/>
    </x:row>
    <x:row r="33" ht="22" customHeight="1">
      <x:c r="A33" s="2"/>
      <x:c r="B33" s="2"/>
      <x:c r="C33" s="2"/>
      <x:c r="D33" s="2"/>
      <x:c r="E33" s="4"/>
      <x:c r="F33" s="109"/>
      <x:c r="G33" s="114" t="str">
        <x:v>Equity value</x:v>
      </x:c>
      <x:c r="H33" s="115"/>
      <x:c r="I33" s="79" t="n">
        <x:f>SUM(I29,I32)</x:f>
        <x:v>164620.42595207156</x:v>
      </x:c>
      <x:c r="J33" s="4"/>
      <x:c r="K33" s="4"/>
      <x:c r="L33" s="4"/>
      <x:c r="M33" s="4"/>
    </x:row>
    <x:row r="34" ht="22" customHeight="1">
      <x:c r="A34" s="2"/>
      <x:c r="B34" s="2"/>
      <x:c r="C34" s="2"/>
      <x:c r="D34" s="2"/>
      <x:c r="E34" s="4"/>
      <x:c r="F34" s="109"/>
      <x:c r="G34" s="110" t="str">
        <x:v>Shares (millions)</x:v>
      </x:c>
      <x:c r="H34" s="109"/>
      <x:c r="I34" s="10" t="n">
        <x:f>IF(Assumptions!E49&gt;0,Assumptions!E49,NA())</x:f>
        <x:v>3180</x:v>
      </x:c>
      <x:c r="J34" s="4"/>
      <x:c r="K34" s="4"/>
      <x:c r="L34" s="4"/>
      <x:c r="M34" s="4"/>
    </x:row>
    <x:row r="35" ht="22" customHeight="1">
      <x:c r="A35" s="2"/>
      <x:c r="B35" s="2"/>
      <x:c r="C35" s="2"/>
      <x:c r="D35" s="2"/>
      <x:c r="E35" s="4"/>
      <x:c r="F35" s="109"/>
      <x:c r="G35" s="118" t="str">
        <x:v>Value per share</x:v>
      </x:c>
      <x:c r="H35" s="119"/>
      <x:c r="I35" s="120" t="n">
        <x:f>I33/I34</x:f>
        <x:v>51.76742954467659</x:v>
      </x:c>
      <x:c r="J35" s="4"/>
      <x:c r="K35" s="4"/>
      <x:c r="L35" s="4"/>
      <x:c r="M35" s="4"/>
    </x:row>
    <x:row r="36" ht="22" customHeight="1">
      <x:c r="A36" s="2"/>
      <x:c r="B36" s="2"/>
      <x:c r="C36" s="2"/>
      <x:c r="D36" s="2"/>
      <x:c r="E36" s="4"/>
      <x:c r="F36" s="109"/>
      <x:c r="G36" s="110" t="str">
        <x:v>Terminal value / EV</x:v>
      </x:c>
      <x:c r="H36" s="109"/>
      <x:c r="I36" s="70" t="n">
        <x:f>I28/I29</x:f>
        <x:v>0.7462866913180372</x:v>
      </x:c>
      <x:c r="J36" s="4"/>
      <x:c r="K36" s="4"/>
      <x:c r="L36" s="4"/>
      <x:c r="M36" s="4"/>
    </x:row>
    <x:row r="37" ht="22" customHeight="1">
      <x:c r="A37" s="2"/>
      <x:c r="B37" s="2"/>
      <x:c r="C37" s="2"/>
      <x:c r="D37" s="2"/>
      <x:c r="E37" s="4"/>
      <x:c r="F37" s="109"/>
      <x:c r="G37" s="109"/>
      <x:c r="H37" s="109"/>
      <x:c r="I37" s="4"/>
      <x:c r="J37" s="4"/>
      <x:c r="K37" s="4"/>
      <x:c r="L37" s="4"/>
      <x:c r="M37" s="4"/>
    </x:row>
    <x:row r="38" ht="22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14" t="str">
        <x:v>Explicit cash flows use mid-year discounting. Terminal value is a perpetuity discounted from the end of Year 5.</x:v>
      </x:c>
      <x:c r="D39" s="2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14" t="str">
        <x:v>Cash taxes apply only to positive EBIT. Working capital is based on the change in revenue.</x:v>
      </x:c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14" t="str">
        <x:v>WACC must exceed terminal growth; shares must be positive. Missing active drivers return an error.</x:v>
      </x:c>
      <x:c r="D41" s="2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2" customHeight="1">
      <x:c r="A45" s="2"/>
      <x:c r="B45" s="2"/>
      <x:c r="C45" s="39" t="str">
        <x:v>Illustrative software valuation</x:v>
      </x:c>
      <x:c r="D45" s="40"/>
      <x:c r="E45" s="41"/>
      <x:c r="F45" s="41"/>
      <x:c r="G45" s="41"/>
      <x:c r="H45" s="41"/>
      <x:c r="I45" s="41"/>
      <x:c r="J45" s="4"/>
      <x:c r="K45" s="4"/>
      <x:c r="L45" s="4"/>
      <x:c r="M45" s="4"/>
    </x:row>
    <x:row r="46" ht="22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9" t="str">
        <x:v>Active fleet (million vehicles)</x:v>
      </x:c>
      <x:c r="D47" s="2"/>
      <x:c r="E47" s="10" t="n">
        <x:f>IF(Assumptions!E64="",NA(),Assumptions!E64)</x:f>
        <x:v>18</x:v>
      </x:c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9" t="str">
        <x:v>Paying adoption</x:v>
      </x:c>
      <x:c r="D48" s="2"/>
      <x:c r="E48" s="100" t="n">
        <x:f>IF(Assumptions!E69="",NA(),Assumptions!E69)</x:f>
        <x:v>0.3</x:v>
      </x:c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9" t="str">
        <x:v>Monthly revenue per subscriber (USD)</x:v>
      </x:c>
      <x:c r="D49" s="2"/>
      <x:c r="E49" s="121" t="n">
        <x:f>IF(Assumptions!E68="",NA(),Assumptions!E68)</x:f>
        <x:v>99</x:v>
      </x:c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9" t="str">
        <x:v>Annual software revenue (USD M)</x:v>
      </x:c>
      <x:c r="D50" s="2"/>
      <x:c r="E50" s="32" t="n">
        <x:f>E47*E48*E49*12</x:f>
        <x:v>6415.199999999999</x:v>
      </x:c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9" t="str">
        <x:v>Software UFCF (USD M)</x:v>
      </x:c>
      <x:c r="D51" s="2"/>
      <x:c r="E51" s="10" t="n">
        <x:f>E50*Assumptions!E65</x:f>
        <x:v>3335.9039999999995</x:v>
      </x:c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9" t="str">
        <x:v>Incremental software EV (USD M)</x:v>
      </x:c>
      <x:c r="D52" s="2"/>
      <x:c r="E52" s="10" t="n">
        <x:f>E51*Assumptions!E66</x:f>
        <x:v>34826.837759999995</x:v>
      </x:c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9" t="str">
        <x:v>Incremental value per share</x:v>
      </x:c>
      <x:c r="D53" s="2"/>
      <x:c r="E53" s="111" t="n">
        <x:f>E52/I34</x:f>
        <x:v>10.951835773584904</x:v>
      </x:c>
      <x:c r="F53" s="4"/>
      <x:c r="G53" s="4"/>
      <x:c r="H53" s="4"/>
      <x:c r="I53" s="4"/>
      <x:c r="J53" s="4"/>
      <x:c r="K53" s="4"/>
      <x:c r="L53" s="4"/>
      <x:c r="M53" s="4"/>
    </x:row>
    <x:row r="54" ht="22" customHeight="1">
      <x:c r="A54" s="2"/>
      <x:c r="B54" s="2"/>
      <x:c r="C54" s="77" t="str">
        <x:v>Active DCF plus software (USD/share)</x:v>
      </x:c>
      <x:c r="D54" s="78"/>
      <x:c r="E54" s="117" t="n">
        <x:f>I35+E53</x:f>
        <x:v>62.71926531826149</x:v>
      </x:c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9" t="str">
        <x:v>Illustrative target price</x:v>
      </x:c>
      <x:c r="D55" s="2"/>
      <x:c r="E55" s="121" t="n">
        <x:f>IF(Assumptions!E67="",NA(),Assumptions!E67)</x:f>
        <x:v>200</x:v>
      </x:c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9" t="str">
        <x:v>Additional EV needed for target (USD M)</x:v>
      </x:c>
      <x:c r="D56" s="2"/>
      <x:c r="E56" s="32" t="n">
        <x:f>MAX(0,(E55-I35)*I34)</x:f>
        <x:v>471379.57404792844</x:v>
      </x:c>
      <x:c r="F56" s="4"/>
      <x:c r="G56" s="4"/>
      <x:c r="H56" s="4"/>
      <x:c r="I56" s="4"/>
      <x:c r="J56" s="4"/>
      <x:c r="K56" s="4"/>
      <x:c r="L56" s="4"/>
      <x:c r="M56" s="4"/>
    </x:row>
    <x:row r="57" ht="22" customHeight="1">
      <x:c r="A57" s="2"/>
      <x:c r="B57" s="2"/>
      <x:c r="C57" s="9" t="str">
        <x:v>Required software UFCF (USD M)</x:v>
      </x:c>
      <x:c r="D57" s="2"/>
      <x:c r="E57" s="10" t="n">
        <x:f>E56/Assumptions!E66</x:f>
        <x:v>45151.300196161734</x:v>
      </x:c>
      <x:c r="F57" s="4"/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14" t="str">
        <x:v>Software cash flow is assumed fully incremental. A full valuation must remove any software already in the DCF.</x:v>
      </x:c>
      <x:c r="D59" s="2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14" t="str">
        <x:v>The EV / Year 5 UFCF multiple is a supplied assumption, not a separately forecast software DCF.</x:v>
      </x:c>
      <x:c r="D60" s="2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39" t="str">
        <x:v>Compute unit economics (USD)</x:v>
      </x:c>
      <x:c r="D62" s="40"/>
      <x:c r="E62" s="41"/>
      <x:c r="F62" s="41"/>
      <x:c r="G62" s="41"/>
      <x:c r="H62" s="41"/>
      <x:c r="I62" s="41"/>
      <x:c r="J62" s="4"/>
      <x:c r="K62" s="4"/>
      <x:c r="L62" s="4"/>
      <x:c r="M62" s="4"/>
    </x:row>
    <x:row r="63" ht="22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22" customHeight="1">
      <x:c r="A64" s="2"/>
      <x:c r="B64" s="2"/>
      <x:c r="C64" s="9" t="str">
        <x:v>Annual compute cost per fleet vehicle</x:v>
      </x:c>
      <x:c r="D64" s="2"/>
      <x:c r="E64" s="121" t="n">
        <x:f>Assumptions!E70/E47</x:f>
        <x:v>250</x:v>
      </x:c>
      <x:c r="F64" s="4"/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9" t="str">
        <x:v>Monthly compute cost per fleet vehicle</x:v>
      </x:c>
      <x:c r="D65" s="2"/>
      <x:c r="E65" s="111" t="n">
        <x:f>E64/12</x:f>
        <x:v>20.833333333333332</x:v>
      </x:c>
      <x:c r="F65" s="4"/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9" t="str">
        <x:v>Monthly compute per paying subscriber</x:v>
      </x:c>
      <x:c r="D66" s="2"/>
      <x:c r="E66" s="111" t="n">
        <x:f>IF(E48&gt;0,E65/E48,NA())</x:f>
        <x:v>69.44444444444444</x:v>
      </x:c>
      <x:c r="F66" s="4"/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9" t="str">
        <x:v>Compute cost per robotaxi mile</x:v>
      </x:c>
      <x:c r="D67" s="2"/>
      <x:c r="E67" s="121" t="n">
        <x:f>Assumptions!E70/(Assumptions!E71*Assumptions!E72)</x:f>
        <x:v>0.05</x:v>
      </x:c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9" t="str">
        <x:v>Monthly revenue less allocated compute</x:v>
      </x:c>
      <x:c r="D68" s="2"/>
      <x:c r="E68" s="111" t="n">
        <x:f>E49-E66</x:f>
        <x:v>29.555555555555557</x:v>
      </x:c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14" t="str">
        <x:v>Revenue less compute excludes all other costs and is not a full profit margin.</x:v>
      </x:c>
      <x:c r="D70" s="2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39" t="str">
        <x:v>CAPM comparison</x:v>
      </x:c>
      <x:c r="D72" s="40"/>
      <x:c r="E72" s="41"/>
      <x:c r="F72" s="41"/>
      <x:c r="G72" s="41"/>
      <x:c r="H72" s="41"/>
      <x:c r="I72" s="41"/>
      <x:c r="J72" s="4"/>
      <x:c r="K72" s="4"/>
      <x:c r="L72" s="4"/>
      <x:c r="M72" s="4"/>
    </x:row>
    <x:row r="73" ht="22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9" t="str">
        <x:v>Cost of equity</x:v>
      </x:c>
      <x:c r="D74" s="2"/>
      <x:c r="E74" s="100" t="n">
        <x:f>Assumptions!E55+Assumptions!E56*Assumptions!E57</x:f>
        <x:v>0.11499999999999999</x:v>
      </x:c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9" t="str">
        <x:v>CAPM-implied WACC</x:v>
      </x:c>
      <x:c r="D75" s="2"/>
      <x:c r="E75" s="122" t="n">
        <x:f>Assumptions!E59*E74+Assumptions!E60*Assumptions!E58*(1-E26)</x:f>
        <x:v>0.1142845</x:v>
      </x:c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9" t="str">
        <x:v>Chosen less CAPM WACC</x:v>
      </x:c>
      <x:c r="D76" s="2"/>
      <x:c r="E76" s="123" t="n">
        <x:f>E29-E75</x:f>
        <x:v>0.00021550000000000735</x:v>
      </x:c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EE5D8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Historical financial analysis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6"/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2012–2020. USD millions except percentages.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Selected:</x:v>
      </x:c>
      <x:c r="D5" s="2"/>
      <x:c r="E5" s="12" t="str">
        <x:f>Assumptions!G5</x:f>
        <x:v>Baseline taper</x:v>
      </x:c>
      <x:c r="F5" s="4"/>
      <x:c r="G5" s="4"/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2"/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6" customHeight="1">
      <x:c r="A7" s="2"/>
      <x:c r="B7" s="2"/>
      <x:c r="C7" s="24" t="str">
        <x:v>Metric</x:v>
      </x:c>
      <x:c r="D7" s="24"/>
      <x:c r="E7" s="26" t="n">
        <x:f>Source!E7</x:f>
        <x:v>2012</x:v>
      </x:c>
      <x:c r="F7" s="26" t="n">
        <x:f>Source!F7</x:f>
        <x:v>2013</x:v>
      </x:c>
      <x:c r="G7" s="26" t="n">
        <x:f>Source!G7</x:f>
        <x:v>2014</x:v>
      </x:c>
      <x:c r="H7" s="26" t="n">
        <x:f>Source!H7</x:f>
        <x:v>2015</x:v>
      </x:c>
      <x:c r="I7" s="26" t="n">
        <x:f>Source!I7</x:f>
        <x:v>2016</x:v>
      </x:c>
      <x:c r="J7" s="26" t="n">
        <x:f>Source!J7</x:f>
        <x:v>2017</x:v>
      </x:c>
      <x:c r="K7" s="26" t="n">
        <x:f>Source!K7</x:f>
        <x:v>2018</x:v>
      </x:c>
      <x:c r="L7" s="26" t="n">
        <x:f>Source!L7</x:f>
        <x:v>2019</x:v>
      </x:c>
      <x:c r="M7" s="26" t="n">
        <x:f>Source!M7</x:f>
        <x:v>2020</x:v>
      </x:c>
    </x:row>
    <x:row r="8" ht="22" customHeight="1">
      <x:c r="A8" s="2"/>
      <x:c r="B8" s="2"/>
      <x:c r="C8" s="9" t="str">
        <x:v>Revenue</x:v>
      </x:c>
      <x:c r="D8" s="2"/>
      <x:c r="E8" s="69" t="n">
        <x:f>Source!E8</x:f>
        <x:v>413.26</x:v>
      </x:c>
      <x:c r="F8" s="69" t="n">
        <x:f>Source!F8</x:f>
        <x:v>2013.5</x:v>
      </x:c>
      <x:c r="G8" s="69" t="n">
        <x:f>Source!G8</x:f>
        <x:v>3198.36</x:v>
      </x:c>
      <x:c r="H8" s="69" t="n">
        <x:f>Source!H8</x:f>
        <x:v>4046.03</x:v>
      </x:c>
      <x:c r="I8" s="69" t="n">
        <x:f>Source!I8</x:f>
        <x:v>7000.13</x:v>
      </x:c>
      <x:c r="J8" s="69" t="n">
        <x:f>Source!J8</x:f>
        <x:v>11758.75</x:v>
      </x:c>
      <x:c r="K8" s="69" t="n">
        <x:f>Source!K8</x:f>
        <x:v>21461.27</x:v>
      </x:c>
      <x:c r="L8" s="69" t="n">
        <x:f>Source!L8</x:f>
        <x:v>24578</x:v>
      </x:c>
      <x:c r="M8" s="69" t="n">
        <x:f>Source!M8</x:f>
        <x:v>31536</x:v>
      </x:c>
    </x:row>
    <x:row r="9" ht="22" customHeight="1">
      <x:c r="A9" s="2"/>
      <x:c r="B9" s="2"/>
      <x:c r="C9" s="71" t="str">
        <x:v>Revenue growth</x:v>
      </x:c>
      <x:c r="D9" s="13"/>
      <x:c r="E9" s="72" t="str">
        <x:f>"n.a."</x:f>
        <x:v>n.a.</x:v>
      </x:c>
      <x:c r="F9" s="72" t="n">
        <x:f>F8/E8-1</x:f>
        <x:v>3.8722353966026235</x:v>
      </x:c>
      <x:c r="G9" s="72" t="n">
        <x:f>G8/F8-1</x:f>
        <x:v>0.5884579091134841</x:v>
      </x:c>
      <x:c r="H9" s="72" t="n">
        <x:f>H8/G8-1</x:f>
        <x:v>0.2650327042609337</x:v>
      </x:c>
      <x:c r="I9" s="72" t="n">
        <x:f>I8/H8-1</x:f>
        <x:v>0.7301231083308823</x:v>
      </x:c>
      <x:c r="J9" s="72" t="n">
        <x:f>J8/I8-1</x:f>
        <x:v>0.6797902324671112</x:v>
      </x:c>
      <x:c r="K9" s="72" t="n">
        <x:f>K8/J8-1</x:f>
        <x:v>0.825131923036037</x:v>
      </x:c>
      <x:c r="L9" s="72" t="n">
        <x:f>L8/K8-1</x:f>
        <x:v>0.14522579511836908</x:v>
      </x:c>
      <x:c r="M9" s="72" t="n">
        <x:f>M8/L8-1</x:f>
        <x:v>0.28309870615998056</x:v>
      </x:c>
    </x:row>
    <x:row r="10" ht="22" customHeight="1">
      <x:c r="A10" s="2"/>
      <x:c r="B10" s="2"/>
      <x:c r="C10" s="9" t="str">
        <x:v>Gross profit</x:v>
      </x:c>
      <x:c r="D10" s="2"/>
      <x:c r="E10" s="10" t="n">
        <x:f>Source!E15</x:f>
        <x:v>30.04</x:v>
      </x:c>
      <x:c r="F10" s="10" t="n">
        <x:f>Source!F15</x:f>
        <x:v>456.26</x:v>
      </x:c>
      <x:c r="G10" s="10" t="n">
        <x:f>Source!G15</x:f>
        <x:v>881.67</x:v>
      </x:c>
      <x:c r="H10" s="10" t="n">
        <x:f>Source!H15</x:f>
        <x:v>923.51</x:v>
      </x:c>
      <x:c r="I10" s="10" t="n">
        <x:f>Source!I15</x:f>
        <x:v>1599.25</x:v>
      </x:c>
      <x:c r="J10" s="10" t="n">
        <x:f>Source!J15</x:f>
        <x:v>2222.49</x:v>
      </x:c>
      <x:c r="K10" s="10" t="n">
        <x:f>Source!K15</x:f>
        <x:v>4042.27</x:v>
      </x:c>
      <x:c r="L10" s="10" t="n">
        <x:f>Source!L15</x:f>
        <x:v>4069</x:v>
      </x:c>
      <x:c r="M10" s="10" t="n">
        <x:f>Source!M15</x:f>
        <x:v>6630</x:v>
      </x:c>
    </x:row>
    <x:row r="11" ht="22" customHeight="1">
      <x:c r="A11" s="2"/>
      <x:c r="B11" s="2"/>
      <x:c r="C11" s="71" t="str">
        <x:v>Gross margin</x:v>
      </x:c>
      <x:c r="D11" s="13"/>
      <x:c r="E11" s="72" t="n">
        <x:f>E10/E8</x:f>
        <x:v>0.07269031602381068</x:v>
      </x:c>
      <x:c r="F11" s="72" t="n">
        <x:f>F10/F8</x:f>
        <x:v>0.22660044698286566</x:v>
      </x:c>
      <x:c r="G11" s="72" t="n">
        <x:f>G10/G8</x:f>
        <x:v>0.27566315236558736</x:v>
      </x:c>
      <x:c r="H11" s="72" t="n">
        <x:f>H10/H8</x:f>
        <x:v>0.22825090273675674</x:v>
      </x:c>
      <x:c r="I11" s="72" t="n">
        <x:f>I10/I8</x:f>
        <x:v>0.22846004288491784</x:v>
      </x:c>
      <x:c r="J11" s="72" t="n">
        <x:f>J10/J8</x:f>
        <x:v>0.18900733496332517</x:v>
      </x:c>
      <x:c r="K11" s="72" t="n">
        <x:f>K10/K8</x:f>
        <x:v>0.1883518542938046</x:v>
      </x:c>
      <x:c r="L11" s="72" t="n">
        <x:f>L10/L8</x:f>
        <x:v>0.1655545609895028</x:v>
      </x:c>
      <x:c r="M11" s="72" t="n">
        <x:f>M10/M8</x:f>
        <x:v>0.2102359208523592</x:v>
      </x:c>
    </x:row>
    <x:row r="12" ht="22" customHeight="1">
      <x:c r="A12" s="2"/>
      <x:c r="B12" s="2"/>
      <x:c r="C12" s="9" t="str">
        <x:v>Operating income</x:v>
      </x:c>
      <x:c r="D12" s="2"/>
      <x:c r="E12" s="10" t="n">
        <x:f>Source!E20</x:f>
        <x:v>-394.31</x:v>
      </x:c>
      <x:c r="F12" s="10" t="n">
        <x:f>Source!F20</x:f>
        <x:v>-61.32</x:v>
      </x:c>
      <x:c r="G12" s="10" t="n">
        <x:f>Source!G20</x:f>
        <x:v>-186.7</x:v>
      </x:c>
      <x:c r="H12" s="10" t="n">
        <x:f>Source!H20</x:f>
        <x:v>-716.62</x:v>
      </x:c>
      <x:c r="I12" s="10" t="n">
        <x:f>Source!I20</x:f>
        <x:v>-667.35</x:v>
      </x:c>
      <x:c r="J12" s="10" t="n">
        <x:f>Source!J20</x:f>
        <x:v>-1632.08</x:v>
      </x:c>
      <x:c r="K12" s="10" t="n">
        <x:f>Source!K20</x:f>
        <x:v>-251.73</x:v>
      </x:c>
      <x:c r="L12" s="10" t="n">
        <x:f>Source!L20</x:f>
        <x:v>-69</x:v>
      </x:c>
      <x:c r="M12" s="10" t="n">
        <x:f>Source!M20</x:f>
        <x:v>1994</x:v>
      </x:c>
    </x:row>
    <x:row r="13" ht="22" customHeight="1">
      <x:c r="A13" s="2"/>
      <x:c r="B13" s="2"/>
      <x:c r="C13" s="71" t="str">
        <x:v>Operating margin</x:v>
      </x:c>
      <x:c r="D13" s="13"/>
      <x:c r="E13" s="72" t="n">
        <x:f>E12/E8</x:f>
        <x:v>-0.954145090257949</x:v>
      </x:c>
      <x:c r="F13" s="72" t="n">
        <x:f>F12/F8</x:f>
        <x:v>-0.030454432580084432</x:v>
      </x:c>
      <x:c r="G13" s="72" t="n">
        <x:f>G12/G8</x:f>
        <x:v>-0.058373666504083335</x:v>
      </x:c>
      <x:c r="H13" s="72" t="n">
        <x:f>H12/H8</x:f>
        <x:v>-0.17711682810063198</x:v>
      </x:c>
      <x:c r="I13" s="72" t="n">
        <x:f>I12/I8</x:f>
        <x:v>-0.0953339437981866</x:v>
      </x:c>
      <x:c r="J13" s="72" t="n">
        <x:f>J12/J8</x:f>
        <x:v>-0.13879706601466993</x:v>
      </x:c>
      <x:c r="K13" s="72" t="n">
        <x:f>K12/K8</x:f>
        <x:v>-0.011729501562582269</x:v>
      </x:c>
      <x:c r="L13" s="72" t="n">
        <x:f>L12/L8</x:f>
        <x:v>-0.002807388721620962</x:v>
      </x:c>
      <x:c r="M13" s="72" t="n">
        <x:f>M12/M8</x:f>
        <x:v>0.06322932521562659</x:v>
      </x:c>
    </x:row>
    <x:row r="14" ht="22" customHeight="1">
      <x:c r="A14" s="2"/>
      <x:c r="B14" s="2"/>
      <x:c r="C14" s="9" t="str">
        <x:v>Net income</x:v>
      </x:c>
      <x:c r="D14" s="2"/>
      <x:c r="E14" s="10" t="n">
        <x:f>Source!E26</x:f>
        <x:v>-396.21</x:v>
      </x:c>
      <x:c r="F14" s="10" t="n">
        <x:f>Source!F26</x:f>
        <x:v>-74.01</x:v>
      </x:c>
      <x:c r="G14" s="10" t="n">
        <x:f>Source!G26</x:f>
        <x:v>-294.04</x:v>
      </x:c>
      <x:c r="H14" s="10" t="n">
        <x:f>Source!H26</x:f>
        <x:v>-888.66</x:v>
      </x:c>
      <x:c r="I14" s="10" t="n">
        <x:f>Source!I26</x:f>
        <x:v>-674.91</x:v>
      </x:c>
      <x:c r="J14" s="10" t="n">
        <x:f>Source!J26</x:f>
        <x:v>-1961.4</x:v>
      </x:c>
      <x:c r="K14" s="10" t="n">
        <x:f>Source!K26</x:f>
        <x:v>-976</x:v>
      </x:c>
      <x:c r="L14" s="10" t="n">
        <x:f>Source!L26</x:f>
        <x:v>-862</x:v>
      </x:c>
      <x:c r="M14" s="10" t="n">
        <x:f>Source!M26</x:f>
        <x:v>690</x:v>
      </x:c>
    </x:row>
    <x:row r="15" ht="22" customHeight="1">
      <x:c r="A15" s="2"/>
      <x:c r="B15" s="2"/>
      <x:c r="C15" s="71" t="str">
        <x:v>Net margin</x:v>
      </x:c>
      <x:c r="D15" s="13"/>
      <x:c r="E15" s="72" t="n">
        <x:f>E14/E8</x:f>
        <x:v>-0.9587426801529303</x:v>
      </x:c>
      <x:c r="F15" s="72" t="n">
        <x:f>F14/F8</x:f>
        <x:v>-0.036756890985845544</x:v>
      </x:c>
      <x:c r="G15" s="72" t="n">
        <x:f>G14/G8</x:f>
        <x:v>-0.09193461649095161</x:v>
      </x:c>
      <x:c r="H15" s="72" t="n">
        <x:f>H14/H8</x:f>
        <x:v>-0.21963752122450894</x:v>
      </x:c>
      <x:c r="I15" s="72" t="n">
        <x:f>I14/I8</x:f>
        <x:v>-0.09641392374141622</x:v>
      </x:c>
      <x:c r="J15" s="72" t="n">
        <x:f>J14/J8</x:f>
        <x:v>-0.16680344424364835</x:v>
      </x:c>
      <x:c r="K15" s="72" t="n">
        <x:f>K14/K8</x:f>
        <x:v>-0.045477271382355286</x:v>
      </x:c>
      <x:c r="L15" s="72" t="n">
        <x:f>L14/L8</x:f>
        <x:v>-0.03507201562372854</x:v>
      </x:c>
      <x:c r="M15" s="72" t="n">
        <x:f>M14/M8</x:f>
        <x:v>0.021879756468797563</x:v>
      </x:c>
    </x:row>
    <x:row r="16" ht="22" customHeight="1">
      <x:c r="A16" s="2"/>
      <x:c r="B16" s="2"/>
      <x:c r="C16" s="9" t="str">
        <x:v>Operating cash flow</x:v>
      </x:c>
      <x:c r="D16" s="2"/>
      <x:c r="E16" s="10" t="n">
        <x:f>Source!E27</x:f>
        <x:v>-266</x:v>
      </x:c>
      <x:c r="F16" s="10" t="n">
        <x:f>Source!F27</x:f>
        <x:v>258</x:v>
      </x:c>
      <x:c r="G16" s="10" t="n">
        <x:f>Source!G27</x:f>
        <x:v>-57.3</x:v>
      </x:c>
      <x:c r="H16" s="10" t="n">
        <x:f>Source!H27</x:f>
        <x:v>-524.5</x:v>
      </x:c>
      <x:c r="I16" s="10" t="n">
        <x:f>Source!I27</x:f>
        <x:v>-123.8</x:v>
      </x:c>
      <x:c r="J16" s="10" t="n">
        <x:f>Source!J27</x:f>
        <x:v>-60.6</x:v>
      </x:c>
      <x:c r="K16" s="10" t="n">
        <x:f>Source!K27</x:f>
        <x:v>2097.8</x:v>
      </x:c>
      <x:c r="L16" s="10" t="n">
        <x:f>Source!L27</x:f>
        <x:v>2405</x:v>
      </x:c>
      <x:c r="M16" s="10" t="n">
        <x:f>Source!M27</x:f>
        <x:v>5943</x:v>
      </x:c>
    </x:row>
    <x:row r="17" ht="22" customHeight="1">
      <x:c r="A17" s="2"/>
      <x:c r="B17" s="2"/>
      <x:c r="C17" s="9" t="str">
        <x:v>CapEx spend</x:v>
      </x:c>
      <x:c r="D17" s="2"/>
      <x:c r="E17" s="10" t="n">
        <x:f>-Source!E29</x:f>
        <x:v>239.2</x:v>
      </x:c>
      <x:c r="F17" s="10" t="n">
        <x:f>-Source!F29</x:f>
        <x:v>264.2</x:v>
      </x:c>
      <x:c r="G17" s="10" t="n">
        <x:f>-Source!G29</x:f>
        <x:v>969.9</x:v>
      </x:c>
      <x:c r="H17" s="10" t="n">
        <x:f>-Source!H29</x:f>
        <x:v>1634.9</x:v>
      </x:c>
      <x:c r="I17" s="10" t="n">
        <x:f>-Source!I29</x:f>
        <x:v>1284.7</x:v>
      </x:c>
      <x:c r="J17" s="10" t="n">
        <x:f>-Source!J29</x:f>
        <x:v>3414.8</x:v>
      </x:c>
      <x:c r="K17" s="10" t="n">
        <x:f>-Source!K29</x:f>
        <x:v>2100.7</x:v>
      </x:c>
      <x:c r="L17" s="10" t="n">
        <x:f>-Source!L29</x:f>
        <x:v>1327</x:v>
      </x:c>
      <x:c r="M17" s="10" t="n">
        <x:f>-Source!M29</x:f>
        <x:v>3157</x:v>
      </x:c>
    </x:row>
    <x:row r="18" ht="22" customHeight="1">
      <x:c r="A18" s="2"/>
      <x:c r="B18" s="2"/>
      <x:c r="C18" s="77" t="str">
        <x:v>Free cash flow</x:v>
      </x:c>
      <x:c r="D18" s="78"/>
      <x:c r="E18" s="79" t="n">
        <x:f>E16-E17</x:f>
        <x:v>-505.2</x:v>
      </x:c>
      <x:c r="F18" s="79" t="n">
        <x:f>F16-F17</x:f>
        <x:v>-6.199999999999989</x:v>
      </x:c>
      <x:c r="G18" s="79" t="n">
        <x:f>G16-G17</x:f>
        <x:v>-1027.2</x:v>
      </x:c>
      <x:c r="H18" s="79" t="n">
        <x:f>H16-H17</x:f>
        <x:v>-2159.4</x:v>
      </x:c>
      <x:c r="I18" s="79" t="n">
        <x:f>I16-I17</x:f>
        <x:v>-1408.5</x:v>
      </x:c>
      <x:c r="J18" s="79" t="n">
        <x:f>J16-J17</x:f>
        <x:v>-3475.4</x:v>
      </x:c>
      <x:c r="K18" s="79" t="n">
        <x:f>K16-K17</x:f>
        <x:v>-2.899999999999636</x:v>
      </x:c>
      <x:c r="L18" s="79" t="n">
        <x:f>L16-L17</x:f>
        <x:v>1078</x:v>
      </x:c>
      <x:c r="M18" s="79" t="n">
        <x:f>M16-M17</x:f>
        <x:v>2786</x:v>
      </x:c>
    </x:row>
    <x:row r="19" ht="22" customHeight="1">
      <x:c r="A19" s="2"/>
      <x:c r="B19" s="2"/>
      <x:c r="C19" s="71" t="str">
        <x:v>Free cash flow margin</x:v>
      </x:c>
      <x:c r="D19" s="13"/>
      <x:c r="E19" s="72" t="n">
        <x:f>E18/E8</x:f>
        <x:v>-1.222474955233993</x:v>
      </x:c>
      <x:c r="F19" s="72" t="n">
        <x:f>F18/F8</x:f>
        <x:v>-0.0030792152967469523</x:v>
      </x:c>
      <x:c r="G19" s="72" t="n">
        <x:f>G18/G8</x:f>
        <x:v>-0.32116459685588866</x:v>
      </x:c>
      <x:c r="H19" s="72" t="n">
        <x:f>H18/H8</x:f>
        <x:v>-0.5337083511491512</x:v>
      </x:c>
      <x:c r="I19" s="72" t="n">
        <x:f>I18/I8</x:f>
        <x:v>-0.20121054894694812</x:v>
      </x:c>
      <x:c r="J19" s="72" t="n">
        <x:f>J18/J8</x:f>
        <x:v>-0.29555862655469334</x:v>
      </x:c>
      <x:c r="K19" s="72" t="n">
        <x:f>K18/K8</x:f>
        <x:v>-0.00013512713832870265</x:v>
      </x:c>
      <x:c r="L19" s="72" t="n">
        <x:f>L18/L8</x:f>
        <x:v>0.043860362926194156</x:v>
      </x:c>
      <x:c r="M19" s="72" t="n">
        <x:f>M18/M8</x:f>
        <x:v>0.08834348046676814</x:v>
      </x:c>
    </x:row>
    <x:row r="20" ht="22" customHeight="1">
      <x:c r="A20" s="2"/>
      <x:c r="B20" s="2"/>
      <x:c r="C20" s="9" t="str">
        <x:v>Cash and equivalents</x:v>
      </x:c>
      <x:c r="D20" s="2"/>
      <x:c r="E20" s="69" t="n">
        <x:f>Source!E32</x:f>
        <x:v>201</x:v>
      </x:c>
      <x:c r="F20" s="69" t="n">
        <x:f>Source!F32</x:f>
        <x:v>846</x:v>
      </x:c>
      <x:c r="G20" s="69" t="n">
        <x:f>Source!G32</x:f>
        <x:v>1906</x:v>
      </x:c>
      <x:c r="H20" s="69" t="n">
        <x:f>Source!H32</x:f>
        <x:v>1197</x:v>
      </x:c>
      <x:c r="I20" s="69" t="n">
        <x:f>Source!I32</x:f>
        <x:v>3393</x:v>
      </x:c>
      <x:c r="J20" s="69" t="n">
        <x:f>Source!J32</x:f>
        <x:v>3368</x:v>
      </x:c>
      <x:c r="K20" s="69" t="n">
        <x:f>Source!K32</x:f>
        <x:v>3686</x:v>
      </x:c>
      <x:c r="L20" s="69" t="n">
        <x:f>Source!L32</x:f>
        <x:v>6268</x:v>
      </x:c>
      <x:c r="M20" s="69" t="n">
        <x:f>Source!M32</x:f>
        <x:v>19384</x:v>
      </x:c>
    </x:row>
    <x:row r="21" ht="22" customHeight="1">
      <x:c r="A21" s="2"/>
      <x:c r="B21" s="2"/>
      <x:c r="C21" s="2"/>
      <x:c r="D21" s="2"/>
      <x:c r="E21" s="4"/>
      <x:c r="F21" s="4"/>
      <x:c r="G21" s="4"/>
      <x:c r="H21" s="4"/>
      <x:c r="I21" s="4"/>
      <x:c r="J21" s="4"/>
      <x:c r="K21" s="4"/>
      <x:c r="L21" s="4"/>
      <x:c r="M21" s="4"/>
    </x:row>
    <x:row r="22" ht="22" customHeight="1">
      <x:c r="A22" s="2"/>
      <x:c r="B22" s="2"/>
      <x:c r="C22" s="9" t="str">
        <x:v>Regulatory-credit revenue</x:v>
      </x:c>
      <x:c r="D22" s="2"/>
      <x:c r="E22" s="10" t="n">
        <x:f>Source!E10</x:f>
        <x:v>40.5</x:v>
      </x:c>
      <x:c r="F22" s="10" t="n">
        <x:f>Source!F10</x:f>
        <x:v>194.4</x:v>
      </x:c>
      <x:c r="G22" s="10" t="n">
        <x:f>Source!G10</x:f>
        <x:v>216.3</x:v>
      </x:c>
      <x:c r="H22" s="10" t="n">
        <x:f>Source!H10</x:f>
        <x:v>168.7</x:v>
      </x:c>
      <x:c r="I22" s="10" t="n">
        <x:f>Source!I10</x:f>
        <x:v>302.3</x:v>
      </x:c>
      <x:c r="J22" s="10" t="n">
        <x:f>Source!J10</x:f>
        <x:v>360.3</x:v>
      </x:c>
      <x:c r="K22" s="10" t="n">
        <x:f>Source!K10</x:f>
        <x:v>418.6</x:v>
      </x:c>
      <x:c r="L22" s="10" t="n">
        <x:f>Source!L10</x:f>
        <x:v>594</x:v>
      </x:c>
      <x:c r="M22" s="10" t="n">
        <x:f>Source!M10</x:f>
        <x:v>1580</x:v>
      </x:c>
    </x:row>
    <x:row r="23" ht="22" customHeight="1">
      <x:c r="A23" s="2"/>
      <x:c r="B23" s="2"/>
      <x:c r="C23" s="9" t="str">
        <x:v>EBIT less credit revenue</x:v>
      </x:c>
      <x:c r="D23" s="2"/>
      <x:c r="E23" s="32" t="n">
        <x:f>E12-E22</x:f>
        <x:v>-434.81</x:v>
      </x:c>
      <x:c r="F23" s="32" t="n">
        <x:f>F12-F22</x:f>
        <x:v>-255.72</x:v>
      </x:c>
      <x:c r="G23" s="32" t="n">
        <x:f>G12-G22</x:f>
        <x:v>-403</x:v>
      </x:c>
      <x:c r="H23" s="32" t="n">
        <x:f>H12-H22</x:f>
        <x:v>-885.3199999999999</x:v>
      </x:c>
      <x:c r="I23" s="32" t="n">
        <x:f>I12-I22</x:f>
        <x:v>-969.6500000000001</x:v>
      </x:c>
      <x:c r="J23" s="32" t="n">
        <x:f>J12-J22</x:f>
        <x:v>-1992.3799999999999</x:v>
      </x:c>
      <x:c r="K23" s="32" t="n">
        <x:f>K12-K22</x:f>
        <x:v>-670.33</x:v>
      </x:c>
      <x:c r="L23" s="32" t="n">
        <x:f>L12-L22</x:f>
        <x:v>-663</x:v>
      </x:c>
      <x:c r="M23" s="32" t="n">
        <x:f>M12-M22</x:f>
        <x:v>414</x:v>
      </x:c>
    </x:row>
    <x:row r="24" ht="22" customHeight="1">
      <x:c r="A24" s="2"/>
      <x:c r="B24" s="2"/>
      <x:c r="C24" s="9" t="str">
        <x:v>Revenue less credit revenue</x:v>
      </x:c>
      <x:c r="D24" s="2"/>
      <x:c r="E24" s="32" t="n">
        <x:f>E8-E22</x:f>
        <x:v>372.76</x:v>
      </x:c>
      <x:c r="F24" s="32" t="n">
        <x:f>F8-F22</x:f>
        <x:v>1819.1</x:v>
      </x:c>
      <x:c r="G24" s="32" t="n">
        <x:f>G8-G22</x:f>
        <x:v>2982.06</x:v>
      </x:c>
      <x:c r="H24" s="32" t="n">
        <x:f>H8-H22</x:f>
        <x:v>3877.3300000000004</x:v>
      </x:c>
      <x:c r="I24" s="32" t="n">
        <x:f>I8-I22</x:f>
        <x:v>6697.83</x:v>
      </x:c>
      <x:c r="J24" s="32" t="n">
        <x:f>J8-J22</x:f>
        <x:v>11398.45</x:v>
      </x:c>
      <x:c r="K24" s="32" t="n">
        <x:f>K8-K22</x:f>
        <x:v>21042.670000000002</x:v>
      </x:c>
      <x:c r="L24" s="32" t="n">
        <x:f>L8-L22</x:f>
        <x:v>23984</x:v>
      </x:c>
      <x:c r="M24" s="32" t="n">
        <x:f>M8-M22</x:f>
        <x:v>29956</x:v>
      </x:c>
    </x:row>
    <x:row r="25" ht="22" customHeight="1">
      <x:c r="A25" s="2"/>
      <x:c r="B25" s="2"/>
      <x:c r="C25" s="71" t="str">
        <x:v>Operating margin excluding credits</x:v>
      </x:c>
      <x:c r="D25" s="13"/>
      <x:c r="E25" s="72" t="n">
        <x:f>E23/E24</x:f>
        <x:v>-1.1664609936688486</x:v>
      </x:c>
      <x:c r="F25" s="72" t="n">
        <x:f>F23/F24</x:f>
        <x:v>-0.14057500962014183</x:v>
      </x:c>
      <x:c r="G25" s="72" t="n">
        <x:f>G23/G24</x:f>
        <x:v>-0.13514147938002588</x:v>
      </x:c>
      <x:c r="H25" s="72" t="n">
        <x:f>H23/H24</x:f>
        <x:v>-0.2283323833669045</x:v>
      </x:c>
      <x:c r="I25" s="72" t="n">
        <x:f>I23/I24</x:f>
        <x:v>-0.14477076904012195</x:v>
      </x:c>
      <x:c r="J25" s="72" t="n">
        <x:f>J23/J24</x:f>
        <x:v>-0.17479394128149</x:v>
      </x:c>
      <x:c r="K25" s="72" t="n">
        <x:f>K23/K24</x:f>
        <x:v>-0.03185574834372254</x:v>
      </x:c>
      <x:c r="L25" s="72" t="n">
        <x:f>L23/L24</x:f>
        <x:v>-0.02764342895263509</x:v>
      </x:c>
      <x:c r="M25" s="72" t="n">
        <x:f>M23/M24</x:f>
        <x:v>0.013820269728935772</x:v>
      </x:c>
    </x:row>
    <x:row r="26" ht="22" customHeight="1">
      <x:c r="A26" s="2"/>
      <x:c r="B26" s="2"/>
      <x:c r="C26" s="2"/>
      <x:c r="D26" s="2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22" customHeight="1">
      <x:c r="A27" s="2"/>
      <x:c r="B27" s="2"/>
      <x:c r="C27" s="84" t="str">
        <x:v>Revenue CAGR, 2012–2020</x:v>
      </x:c>
      <x:c r="D27" s="85"/>
      <x:c r="E27" s="86"/>
      <x:c r="F27" s="86"/>
      <x:c r="G27" s="86"/>
      <x:c r="H27" s="86"/>
      <x:c r="I27" s="86"/>
      <x:c r="J27" s="86"/>
      <x:c r="K27" s="86"/>
      <x:c r="L27" s="86"/>
      <x:c r="M27" s="87" t="n">
        <x:f>(M8/E8)^(1/(M7-E7))-1</x:f>
        <x:v>0.7191861527137506</x:v>
      </x:c>
    </x:row>
    <x:row r="28" ht="22" customHeight="1">
      <x:c r="A28" s="2"/>
      <x:c r="B28" s="2"/>
      <x:c r="C28" s="2"/>
      <x:c r="D28" s="2"/>
      <x:c r="E28" s="4"/>
      <x:c r="F28" s="4"/>
      <x:c r="G28" s="4"/>
      <x:c r="H28" s="4"/>
      <x:c r="I28" s="4"/>
      <x:c r="J28" s="4"/>
      <x:c r="K28" s="4"/>
      <x:c r="L28" s="4"/>
      <x:c r="M28" s="4"/>
    </x:row>
    <x:row r="29" ht="22" customHeight="1">
      <x:c r="A29" s="2"/>
      <x:c r="B29" s="2"/>
      <x:c r="C29" s="2"/>
      <x:c r="D29" s="2"/>
      <x:c r="E29" s="4"/>
      <x:c r="F29" s="4"/>
      <x:c r="G29" s="4"/>
      <x:c r="H29" s="4"/>
      <x:c r="I29" s="4"/>
      <x:c r="J29" s="4"/>
      <x:c r="K29" s="4"/>
      <x:c r="L29" s="4"/>
      <x:c r="M29" s="4"/>
    </x:row>
    <x:row r="30" ht="22" customHeight="1">
      <x:c r="A30" s="2"/>
      <x:c r="B30" s="2"/>
      <x:c r="C30" s="39" t="str">
        <x:v>Source reconciliation differences (USD millions)</x:v>
      </x:c>
      <x:c r="D30" s="40"/>
      <x:c r="E30" s="41"/>
      <x:c r="F30" s="41"/>
      <x:c r="G30" s="41"/>
      <x:c r="H30" s="41"/>
      <x:c r="I30" s="41"/>
      <x:c r="J30" s="41"/>
      <x:c r="K30" s="41"/>
      <x:c r="L30" s="41"/>
      <x:c r="M30" s="41"/>
    </x:row>
    <x:row r="31" ht="22" customHeight="1">
      <x:c r="A31" s="2"/>
      <x:c r="B31" s="2"/>
      <x:c r="C31" s="9" t="str">
        <x:v>Revenue − cost of revenue − gross profit</x:v>
      </x:c>
      <x:c r="D31" s="2"/>
      <x:c r="E31" s="89" t="n">
        <x:f>Source!E8-Source!E13-Source!E15</x:f>
        <x:v>-3.552713678800501e-14</x:v>
      </x:c>
      <x:c r="F31" s="89" t="n">
        <x:f>Source!F8-Source!F13-Source!F15</x:f>
        <x:v>0</x:v>
      </x:c>
      <x:c r="G31" s="89" t="n">
        <x:f>Source!G8-Source!G13-Source!G15</x:f>
        <x:v>1.1368683772161603e-13</x:v>
      </x:c>
      <x:c r="H31" s="89" t="n">
        <x:f>Source!H8-Source!H13-Source!H15</x:f>
        <x:v>2.2737367544323206e-13</x:v>
      </x:c>
      <x:c r="I31" s="89" t="n">
        <x:f>Source!I8-Source!I13-Source!I15</x:f>
        <x:v>0</x:v>
      </x:c>
      <x:c r="J31" s="89" t="n">
        <x:f>Source!J8-Source!J13-Source!J15</x:f>
        <x:v>0</x:v>
      </x:c>
      <x:c r="K31" s="89" t="n">
        <x:f>Source!K8-Source!K13-Source!K15</x:f>
        <x:v>4.547473508864641e-13</x:v>
      </x:c>
      <x:c r="L31" s="89" t="n">
        <x:f>Source!L8-Source!L13-Source!L15</x:f>
        <x:v>0</x:v>
      </x:c>
      <x:c r="M31" s="89" t="n">
        <x:f>Source!M8-Source!M13-Source!M15</x:f>
        <x:v>0</x:v>
      </x:c>
    </x:row>
    <x:row r="32" ht="22" customHeight="1">
      <x:c r="A32" s="2"/>
      <x:c r="B32" s="2"/>
      <x:c r="C32" s="9" t="str">
        <x:v>Gross profit − OpEx − operating income</x:v>
      </x:c>
      <x:c r="D32" s="2"/>
      <x:c r="E32" s="89" t="n">
        <x:f>Source!E15-Source!E19-Source!E20</x:f>
        <x:v>0</x:v>
      </x:c>
      <x:c r="F32" s="89" t="n">
        <x:f>Source!F15-Source!F19-Source!F20</x:f>
        <x:v>-4.973799150320701e-14</x:v>
      </x:c>
      <x:c r="G32" s="89" t="n">
        <x:f>Source!G15-Source!G19-Source!G20</x:f>
        <x:v>5.684341886080802e-14</x:v>
      </x:c>
      <x:c r="H32" s="89" t="n">
        <x:f>Source!H15-Source!H19-Source!H20</x:f>
        <x:v>-1.1368683772161603e-13</x:v>
      </x:c>
      <x:c r="I32" s="89" t="n">
        <x:f>Source!I15-Source!I19-Source!I20</x:f>
        <x:v>1.1368683772161603e-13</x:v>
      </x:c>
      <x:c r="J32" s="89" t="n">
        <x:f>Source!J15-Source!J19-Source!J20</x:f>
        <x:v>-4.547473508864641e-13</x:v>
      </x:c>
      <x:c r="K32" s="89" t="n">
        <x:f>Source!K15-Source!K19-Source!K20</x:f>
        <x:v>-2.842170943040401e-14</x:v>
      </x:c>
      <x:c r="L32" s="89" t="n">
        <x:f>Source!L15-Source!L19-Source!L20</x:f>
        <x:v>149</x:v>
      </x:c>
      <x:c r="M32" s="89" t="n">
        <x:f>Source!M15-Source!M19-Source!M20</x:f>
        <x:v>0</x:v>
      </x:c>
    </x:row>
    <x:row r="33" ht="22" customHeight="1">
      <x:c r="A33" s="2"/>
      <x:c r="B33" s="2"/>
      <x:c r="C33" s="9" t="str">
        <x:v>Revenue − supplied business segments</x:v>
      </x:c>
      <x:c r="D33" s="2"/>
      <x:c r="E33" s="89" t="n">
        <x:f>Source!E8-Source!E9-Source!E11-Source!E12</x:f>
        <x:v>-7.105427357601002e-15</x:v>
      </x:c>
      <x:c r="F33" s="89" t="n">
        <x:f>Source!F8-Source!F9-Source!F11-Source!F12</x:f>
        <x:v>-2.842170943040401e-14</x:v>
      </x:c>
      <x:c r="G33" s="89" t="n">
        <x:f>Source!G8-Source!G9-Source!G11-Source!G12</x:f>
        <x:v>-2.842170943040401e-14</x:v>
      </x:c>
      <x:c r="H33" s="89" t="n">
        <x:f>Source!H8-Source!H9-Source!H11-Source!H12</x:f>
        <x:v>3.979039320256561e-13</x:v>
      </x:c>
      <x:c r="I33" s="89" t="n">
        <x:f>Source!I8-Source!I9-Source!I11-Source!I12</x:f>
        <x:v>-2.8421709430404007e-13</x:v>
      </x:c>
      <x:c r="J33" s="89" t="n">
        <x:f>Source!J8-Source!J9-Source!J11-Source!J12</x:f>
        <x:v>-356.60000000000036</x:v>
      </x:c>
      <x:c r="K33" s="89" t="n">
        <x:f>Source!K8-Source!K9-Source!K11-Source!K12</x:f>
        <x:v>9.270000000000437</x:v>
      </x:c>
      <x:c r="L33" s="89" t="n">
        <x:f>Source!L8-Source!L9-Source!L11-Source!L12</x:f>
        <x:v>-51</x:v>
      </x:c>
      <x:c r="M33" s="89" t="n">
        <x:f>Source!M8-Source!M9-Source!M11-Source!M12</x:f>
        <x:v>-2</x:v>
      </x:c>
    </x:row>
    <x:row r="34" ht="22" customHeight="1">
      <x:c r="A34" s="2"/>
      <x:c r="B34" s="2"/>
      <x:c r="C34" s="9" t="str">
        <x:v>Calculated − reported free cash flow</x:v>
      </x:c>
      <x:c r="D34" s="2"/>
      <x:c r="E34" s="89" t="n">
        <x:f>Source!E27+Source!E29-Source!E31</x:f>
        <x:v>0</x:v>
      </x:c>
      <x:c r="F34" s="89" t="n">
        <x:f>Source!F27+Source!F29-Source!F31</x:f>
        <x:v>1.1546319456101628e-14</x:v>
      </x:c>
      <x:c r="G34" s="89" t="n">
        <x:f>Source!G27+Source!G29-Source!G31</x:f>
        <x:v>0</x:v>
      </x:c>
      <x:c r="H34" s="89" t="n">
        <x:f>Source!H27+Source!H29-Source!H31</x:f>
        <x:v>0</x:v>
      </x:c>
      <x:c r="I34" s="89" t="n">
        <x:f>Source!I27+Source!I29-Source!I31</x:f>
        <x:v>0</x:v>
      </x:c>
      <x:c r="J34" s="89" t="n">
        <x:f>Source!J27+Source!J29-Source!J31</x:f>
        <x:v>0</x:v>
      </x:c>
      <x:c r="K34" s="89" t="n">
        <x:f>Source!K27+Source!K29-Source!K31</x:f>
        <x:v>3.637090628672013e-13</x:v>
      </x:c>
      <x:c r="L34" s="89" t="n">
        <x:f>Source!L27+Source!L29-Source!L31</x:f>
        <x:v>0</x:v>
      </x:c>
      <x:c r="M34" s="89" t="n">
        <x:f>Source!M27+Source!M29-Source!M31</x:f>
        <x:v>0</x:v>
      </x:c>
    </x:row>
    <x:row r="35" ht="22" customHeight="1">
      <x:c r="A35" s="2"/>
      <x:c r="B35" s="2"/>
      <x:c r="C35" s="2"/>
      <x:c r="D35" s="2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22" customHeight="1">
      <x:c r="A36" s="2"/>
      <x:c r="B36" s="2"/>
      <x:c r="C36" s="14" t="str">
        <x:v>Highlighted differences come from the supplied data. Original figures are retained; no balancing amounts are added.</x:v>
      </x:c>
      <x:c r="D36" s="2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22" customHeight="1">
      <x:c r="A37" s="2"/>
      <x:c r="B37" s="2"/>
      <x:c r="C37" s="14" t="str">
        <x:v>Ex-credit EBIT holds all costs constant. It is not restated GAAP earnings.</x:v>
      </x:c>
      <x:c r="D37" s="2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22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2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22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2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35" customHeight="1">
      <x:c r="A57" s="2"/>
      <x:c r="B57" s="2"/>
      <x:c r="C57" s="24" t="str">
        <x:v>Year</x:v>
      </x:c>
      <x:c r="D57" s="96" t="str">
        <x:v>Operating cash flow</x:v>
      </x:c>
      <x:c r="E57" s="97" t="str">
        <x:v>CapEx spend</x:v>
      </x:c>
      <x:c r="F57" s="97" t="str">
        <x:v>Free cash flow</x:v>
      </x:c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92" t="str">
        <x:f>TEXT(E7,"0")</x:f>
        <x:v>2012</x:v>
      </x:c>
      <x:c r="D58" s="139" t="n">
        <x:f>E16</x:f>
        <x:v>-266</x:v>
      </x:c>
      <x:c r="E58" s="32" t="n">
        <x:f>E17</x:f>
        <x:v>239.2</x:v>
      </x:c>
      <x:c r="F58" s="32" t="n">
        <x:f>E18</x:f>
        <x:v>-505.2</x:v>
      </x:c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92" t="str">
        <x:f>TEXT(F7,"0")</x:f>
        <x:v>2013</x:v>
      </x:c>
      <x:c r="D59" s="139" t="n">
        <x:f>F16</x:f>
        <x:v>258</x:v>
      </x:c>
      <x:c r="E59" s="32" t="n">
        <x:f>F17</x:f>
        <x:v>264.2</x:v>
      </x:c>
      <x:c r="F59" s="32" t="n">
        <x:f>F18</x:f>
        <x:v>-6.199999999999989</x:v>
      </x:c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92" t="str">
        <x:f>TEXT(G7,"0")</x:f>
        <x:v>2014</x:v>
      </x:c>
      <x:c r="D60" s="139" t="n">
        <x:f>G16</x:f>
        <x:v>-57.3</x:v>
      </x:c>
      <x:c r="E60" s="32" t="n">
        <x:f>G17</x:f>
        <x:v>969.9</x:v>
      </x:c>
      <x:c r="F60" s="32" t="n">
        <x:f>G18</x:f>
        <x:v>-1027.2</x:v>
      </x:c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92" t="str">
        <x:f>TEXT(H7,"0")</x:f>
        <x:v>2015</x:v>
      </x:c>
      <x:c r="D61" s="139" t="n">
        <x:f>H16</x:f>
        <x:v>-524.5</x:v>
      </x:c>
      <x:c r="E61" s="32" t="n">
        <x:f>H17</x:f>
        <x:v>1634.9</x:v>
      </x:c>
      <x:c r="F61" s="32" t="n">
        <x:f>H18</x:f>
        <x:v>-2159.4</x:v>
      </x:c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92" t="str">
        <x:f>TEXT(I7,"0")</x:f>
        <x:v>2016</x:v>
      </x:c>
      <x:c r="D62" s="139" t="n">
        <x:f>I16</x:f>
        <x:v>-123.8</x:v>
      </x:c>
      <x:c r="E62" s="32" t="n">
        <x:f>I17</x:f>
        <x:v>1284.7</x:v>
      </x:c>
      <x:c r="F62" s="32" t="n">
        <x:f>I18</x:f>
        <x:v>-1408.5</x:v>
      </x:c>
      <x:c r="G62" s="4"/>
      <x:c r="H62" s="4"/>
      <x:c r="I62" s="4"/>
      <x:c r="J62" s="4"/>
      <x:c r="K62" s="4"/>
      <x:c r="L62" s="4"/>
      <x:c r="M62" s="4"/>
    </x:row>
    <x:row r="63" ht="22" customHeight="1">
      <x:c r="A63" s="2"/>
      <x:c r="B63" s="2"/>
      <x:c r="C63" s="92" t="str">
        <x:f>TEXT(J7,"0")</x:f>
        <x:v>2017</x:v>
      </x:c>
      <x:c r="D63" s="139" t="n">
        <x:f>J16</x:f>
        <x:v>-60.6</x:v>
      </x:c>
      <x:c r="E63" s="32" t="n">
        <x:f>J17</x:f>
        <x:v>3414.8</x:v>
      </x:c>
      <x:c r="F63" s="32" t="n">
        <x:f>J18</x:f>
        <x:v>-3475.4</x:v>
      </x:c>
      <x:c r="G63" s="4"/>
      <x:c r="H63" s="4"/>
      <x:c r="I63" s="4"/>
      <x:c r="J63" s="4"/>
      <x:c r="K63" s="4"/>
      <x:c r="L63" s="4"/>
      <x:c r="M63" s="4"/>
    </x:row>
    <x:row r="64" ht="22" customHeight="1">
      <x:c r="A64" s="2"/>
      <x:c r="B64" s="2"/>
      <x:c r="C64" s="92" t="str">
        <x:f>TEXT(K7,"0")</x:f>
        <x:v>2018</x:v>
      </x:c>
      <x:c r="D64" s="139" t="n">
        <x:f>K16</x:f>
        <x:v>2097.8</x:v>
      </x:c>
      <x:c r="E64" s="32" t="n">
        <x:f>K17</x:f>
        <x:v>2100.7</x:v>
      </x:c>
      <x:c r="F64" s="32" t="n">
        <x:f>K18</x:f>
        <x:v>-2.899999999999636</x:v>
      </x:c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92" t="str">
        <x:f>TEXT(L7,"0")</x:f>
        <x:v>2019</x:v>
      </x:c>
      <x:c r="D65" s="139" t="n">
        <x:f>L16</x:f>
        <x:v>2405</x:v>
      </x:c>
      <x:c r="E65" s="32" t="n">
        <x:f>L17</x:f>
        <x:v>1327</x:v>
      </x:c>
      <x:c r="F65" s="32" t="n">
        <x:f>L18</x:f>
        <x:v>1078</x:v>
      </x:c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92" t="str">
        <x:f>TEXT(M7,"0")</x:f>
        <x:v>2020</x:v>
      </x:c>
      <x:c r="D66" s="139" t="n">
        <x:f>M16</x:f>
        <x:v>5943</x:v>
      </x:c>
      <x:c r="E66" s="32" t="n">
        <x:f>M17</x:f>
        <x:v>3157</x:v>
      </x:c>
      <x:c r="F66" s="32" t="n">
        <x:f>M18</x:f>
        <x:v>2786</x:v>
      </x:c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2"/>
      <x:c r="D67" s="2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2"/>
      <x:c r="D68" s="2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2"/>
      <x:c r="D70" s="2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2"/>
      <x:c r="D72" s="2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22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2"/>
      <x:c r="D76" s="2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conditionalFormatting sqref="E31:M34">
    <x:cfRule type="expression" dxfId="0" priority="1">
      <x:formula>ABS(E31)&gt;0.02</x:formula>
    </x:cfRule>
  </x:conditionalFormatting>
  <x:pageMargins left="0.7" right="0.7" top="0.75" bottom="0.75" header="0.3" footer="0.3"/>
  <x:drawing xmlns:r="http://schemas.openxmlformats.org/officeDocument/2006/relationships" r:id="R66a0ff0092c54e6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Peer and technology assumptions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6"/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Supplied December 2020 peers and illustrative technology estimates. USD millions unless stated.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Selected:</x:v>
      </x:c>
      <x:c r="D5" s="2"/>
      <x:c r="E5" s="12" t="str">
        <x:f>Assumptions!G5</x:f>
        <x:v>Baseline taper</x:v>
      </x:c>
      <x:c r="F5" s="4"/>
      <x:c r="G5" s="4"/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2"/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6" customHeight="1">
      <x:c r="A7" s="2"/>
      <x:c r="B7" s="2"/>
      <x:c r="C7" s="24" t="str">
        <x:v>Company</x:v>
      </x:c>
      <x:c r="D7" s="24" t="str">
        <x:v>Ticker</x:v>
      </x:c>
      <x:c r="E7" s="25" t="str">
        <x:v>Market cap</x:v>
      </x:c>
      <x:c r="F7" s="25" t="str">
        <x:v>Revenue</x:v>
      </x:c>
      <x:c r="G7" s="25" t="str">
        <x:v>EBITDA</x:v>
      </x:c>
      <x:c r="H7" s="25" t="str">
        <x:v>Net margin</x:v>
      </x:c>
      <x:c r="I7" s="25" t="str">
        <x:v>EV / revenue</x:v>
      </x:c>
      <x:c r="J7" s="25" t="str">
        <x:v>EV / EBITDA</x:v>
      </x:c>
      <x:c r="K7" s="25" t="str">
        <x:v>P / E</x:v>
      </x:c>
      <x:c r="L7" s="4"/>
      <x:c r="M7" s="4"/>
    </x:row>
    <x:row r="8" ht="22" customHeight="1">
      <x:c r="A8" s="2"/>
      <x:c r="B8" s="2"/>
      <x:c r="C8" s="2" t="str">
        <x:v>Tesla</x:v>
      </x:c>
      <x:c r="D8" s="2" t="str">
        <x:v>TSLA</x:v>
      </x:c>
      <x:c r="E8" s="27" t="n">
        <x:v>668900</x:v>
      </x:c>
      <x:c r="F8" s="27" t="n">
        <x:v>31536</x:v>
      </x:c>
      <x:c r="G8" s="27" t="n">
        <x:v>4270</x:v>
      </x:c>
      <x:c r="H8" s="54" t="n">
        <x:v>0.0219</x:v>
      </x:c>
      <x:c r="I8" s="60" t="n">
        <x:v>21.5</x:v>
      </x:c>
      <x:c r="J8" s="60" t="n">
        <x:v>157.2</x:v>
      </x:c>
      <x:c r="K8" s="60" t="n">
        <x:v>1102</x:v>
      </x:c>
      <x:c r="L8" s="4"/>
      <x:c r="M8" s="4"/>
    </x:row>
    <x:row r="9" ht="22" customHeight="1">
      <x:c r="A9" s="2"/>
      <x:c r="B9" s="2"/>
      <x:c r="C9" s="2" t="str">
        <x:v>Toyota</x:v>
      </x:c>
      <x:c r="D9" s="2" t="str">
        <x:v>TM</x:v>
      </x:c>
      <x:c r="E9" s="27" t="n">
        <x:v>215200</x:v>
      </x:c>
      <x:c r="F9" s="27" t="n">
        <x:v>249500</x:v>
      </x:c>
      <x:c r="G9" s="27" t="n">
        <x:v>29400</x:v>
      </x:c>
      <x:c r="H9" s="54" t="n">
        <x:v>0.071</x:v>
      </x:c>
      <x:c r="I9" s="60" t="n">
        <x:v>1.4</x:v>
      </x:c>
      <x:c r="J9" s="60" t="n">
        <x:v>9.2</x:v>
      </x:c>
      <x:c r="K9" s="60" t="n">
        <x:v>10.5</x:v>
      </x:c>
      <x:c r="L9" s="4"/>
      <x:c r="M9" s="4"/>
    </x:row>
    <x:row r="10" ht="22" customHeight="1">
      <x:c r="A10" s="2"/>
      <x:c r="B10" s="2"/>
      <x:c r="C10" s="2" t="str">
        <x:v>Volkswagen</x:v>
      </x:c>
      <x:c r="D10" s="2" t="str">
        <x:v>VOW3</x:v>
      </x:c>
      <x:c r="E10" s="27" t="n">
        <x:v>102400</x:v>
      </x:c>
      <x:c r="F10" s="27" t="n">
        <x:v>254100</x:v>
      </x:c>
      <x:c r="G10" s="27" t="n">
        <x:v>24800</x:v>
      </x:c>
      <x:c r="H10" s="54" t="n">
        <x:v>0.040999999999999995</x:v>
      </x:c>
      <x:c r="I10" s="60" t="n">
        <x:v>1.1</x:v>
      </x:c>
      <x:c r="J10" s="60" t="n">
        <x:v>8.9</x:v>
      </x:c>
      <x:c r="K10" s="60" t="n">
        <x:v>11.2</x:v>
      </x:c>
      <x:c r="L10" s="4"/>
      <x:c r="M10" s="4"/>
    </x:row>
    <x:row r="11" ht="22" customHeight="1">
      <x:c r="A11" s="2"/>
      <x:c r="B11" s="2"/>
      <x:c r="C11" s="2" t="str">
        <x:v>General Motors</x:v>
      </x:c>
      <x:c r="D11" s="2" t="str">
        <x:v>GM</x:v>
      </x:c>
      <x:c r="E11" s="27" t="n">
        <x:v>59400</x:v>
      </x:c>
      <x:c r="F11" s="27" t="n">
        <x:v>122485</x:v>
      </x:c>
      <x:c r="G11" s="27" t="n">
        <x:v>14100</x:v>
      </x:c>
      <x:c r="H11" s="54" t="n">
        <x:v>0.0525</x:v>
      </x:c>
      <x:c r="I11" s="60" t="n">
        <x:v>1.2</x:v>
      </x:c>
      <x:c r="J11" s="60" t="n">
        <x:v>13.3</x:v>
      </x:c>
      <x:c r="K11" s="60" t="n">
        <x:v>12.1</x:v>
      </x:c>
      <x:c r="L11" s="4"/>
      <x:c r="M11" s="4"/>
    </x:row>
    <x:row r="12" ht="22" customHeight="1">
      <x:c r="A12" s="2"/>
      <x:c r="B12" s="2"/>
      <x:c r="C12" s="2" t="str">
        <x:v>Ford</x:v>
      </x:c>
      <x:c r="D12" s="2" t="str">
        <x:v>F</x:v>
      </x:c>
      <x:c r="E12" s="27" t="n">
        <x:v>34900</x:v>
      </x:c>
      <x:c r="F12" s="27" t="n">
        <x:v>127144</x:v>
      </x:c>
      <x:c r="G12" s="27" t="n">
        <x:v>7200</x:v>
      </x:c>
      <x:c r="H12" s="54" t="n">
        <x:v>-0.01</x:v>
      </x:c>
      <x:c r="I12" s="60" t="n">
        <x:v>1.2</x:v>
      </x:c>
      <x:c r="J12" s="60" t="n">
        <x:v>36.9</x:v>
      </x:c>
      <x:c r="K12" s="60" t="str">
        <x:v>n.a.</x:v>
      </x:c>
      <x:c r="L12" s="4"/>
      <x:c r="M12" s="4"/>
    </x:row>
    <x:row r="13" ht="22" customHeight="1">
      <x:c r="A13" s="2"/>
      <x:c r="B13" s="2"/>
      <x:c r="C13" s="2" t="str">
        <x:v>NIO</x:v>
      </x:c>
      <x:c r="D13" s="2" t="str">
        <x:v>NIO</x:v>
      </x:c>
      <x:c r="E13" s="27" t="n">
        <x:v>75200</x:v>
      </x:c>
      <x:c r="F13" s="27" t="n">
        <x:v>2492</x:v>
      </x:c>
      <x:c r="G13" s="27" t="n">
        <x:v>-780</x:v>
      </x:c>
      <x:c r="H13" s="54" t="n">
        <x:v>-0.331</x:v>
      </x:c>
      <x:c r="I13" s="60" t="n">
        <x:v>29.7</x:v>
      </x:c>
      <x:c r="J13" s="60" t="str">
        <x:v>n.a.</x:v>
      </x:c>
      <x:c r="K13" s="60" t="str">
        <x:v>n.a.</x:v>
      </x:c>
      <x:c r="L13" s="4"/>
      <x:c r="M13" s="4"/>
    </x:row>
    <x:row r="14" ht="22" customHeight="1">
      <x:c r="A14" s="2"/>
      <x:c r="B14" s="2"/>
      <x:c r="C14" s="2"/>
      <x:c r="D14" s="2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22" customHeight="1">
      <x:c r="A15" s="2"/>
      <x:c r="B15" s="2"/>
      <x:c r="C15" s="14" t="str">
        <x:v>Missing ratios remain unavailable. Peer fiscal periods and enterprise-value definitions have not been standardized.</x:v>
      </x:c>
      <x:c r="D15" s="2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22" customHeight="1">
      <x:c r="A16" s="2"/>
      <x:c r="B16" s="2"/>
      <x:c r="C16" s="2"/>
      <x:c r="D16" s="2"/>
      <x:c r="E16" s="4"/>
      <x:c r="F16" s="4"/>
      <x:c r="G16" s="4"/>
      <x:c r="H16" s="4"/>
      <x:c r="I16" s="4"/>
      <x:c r="J16" s="4"/>
      <x:c r="K16" s="4"/>
      <x:c r="L16" s="4"/>
      <x:c r="M16" s="4"/>
    </x:row>
    <x:row r="17" ht="22" customHeight="1">
      <x:c r="A17" s="2"/>
      <x:c r="B17" s="2"/>
      <x:c r="C17" s="39" t="str">
        <x:v>Compute budget allocation</x:v>
      </x:c>
      <x:c r="D17" s="40"/>
      <x:c r="E17" s="41"/>
      <x:c r="F17" s="41"/>
      <x:c r="G17" s="4"/>
      <x:c r="H17" s="4"/>
      <x:c r="I17" s="4"/>
      <x:c r="J17" s="4"/>
      <x:c r="K17" s="4"/>
      <x:c r="L17" s="4"/>
      <x:c r="M17" s="4"/>
    </x:row>
    <x:row r="18" ht="26" customHeight="1">
      <x:c r="A18" s="2"/>
      <x:c r="B18" s="2"/>
      <x:c r="C18" s="24" t="str">
        <x:v>Subsystem</x:v>
      </x:c>
      <x:c r="D18" s="24" t="str">
        <x:v>Share</x:v>
      </x:c>
      <x:c r="E18" s="25" t="str">
        <x:v>Annual low</x:v>
      </x:c>
      <x:c r="F18" s="25" t="str">
        <x:v>Annual high</x:v>
      </x:c>
      <x:c r="G18" s="4"/>
      <x:c r="H18" s="4"/>
      <x:c r="I18" s="4"/>
      <x:c r="J18" s="4"/>
      <x:c r="K18" s="4"/>
      <x:c r="L18" s="4"/>
      <x:c r="M18" s="4"/>
    </x:row>
    <x:row r="19" ht="22" customHeight="1">
      <x:c r="A19" s="2"/>
      <x:c r="B19" s="2"/>
      <x:c r="C19" s="2" t="str">
        <x:v>Accelerators (GPU / Dojo)</x:v>
      </x:c>
      <x:c r="D19" s="91" t="n">
        <x:v>0.585</x:v>
      </x:c>
      <x:c r="E19" s="27" t="n">
        <x:v>2200</x:v>
      </x:c>
      <x:c r="F19" s="27" t="n">
        <x:v>3800</x:v>
      </x:c>
      <x:c r="G19" s="4"/>
      <x:c r="H19" s="4"/>
      <x:c r="I19" s="4"/>
      <x:c r="J19" s="4"/>
      <x:c r="K19" s="4"/>
      <x:c r="L19" s="4"/>
      <x:c r="M19" s="4"/>
    </x:row>
    <x:row r="20" ht="22" customHeight="1">
      <x:c r="A20" s="2"/>
      <x:c r="B20" s="2"/>
      <x:c r="C20" s="2" t="str">
        <x:v>Power infrastructure &amp; shell</x:v>
      </x:c>
      <x:c r="D20" s="91" t="n">
        <x:v>0.138</x:v>
      </x:c>
      <x:c r="E20" s="27" t="n">
        <x:v>500</x:v>
      </x:c>
      <x:c r="F20" s="27" t="n">
        <x:v>900</x:v>
      </x:c>
      <x:c r="G20" s="4"/>
      <x:c r="H20" s="4"/>
      <x:c r="I20" s="4"/>
      <x:c r="J20" s="4"/>
      <x:c r="K20" s="4"/>
      <x:c r="L20" s="4"/>
      <x:c r="M20" s="4"/>
    </x:row>
    <x:row r="21" ht="22" customHeight="1">
      <x:c r="A21" s="2"/>
      <x:c r="B21" s="2"/>
      <x:c r="C21" s="2" t="str">
        <x:v>Liquid cooling</x:v>
      </x:c>
      <x:c r="D21" s="91" t="n">
        <x:v>0.12300000000000001</x:v>
      </x:c>
      <x:c r="E21" s="27" t="n">
        <x:v>400</x:v>
      </x:c>
      <x:c r="F21" s="27" t="n">
        <x:v>800</x:v>
      </x:c>
      <x:c r="G21" s="4"/>
      <x:c r="H21" s="4"/>
      <x:c r="I21" s="4"/>
      <x:c r="J21" s="4"/>
      <x:c r="K21" s="4"/>
      <x:c r="L21" s="4"/>
      <x:c r="M21" s="4"/>
    </x:row>
    <x:row r="22" ht="22" customHeight="1">
      <x:c r="A22" s="2"/>
      <x:c r="B22" s="2"/>
      <x:c r="C22" s="2" t="str">
        <x:v>NVMe storage</x:v>
      </x:c>
      <x:c r="D22" s="91" t="n">
        <x:v>0.085</x:v>
      </x:c>
      <x:c r="E22" s="27" t="n">
        <x:v>250</x:v>
      </x:c>
      <x:c r="F22" s="27" t="n">
        <x:v>550</x:v>
      </x:c>
      <x:c r="G22" s="4"/>
      <x:c r="H22" s="4"/>
      <x:c r="I22" s="4"/>
      <x:c r="J22" s="4"/>
      <x:c r="K22" s="4"/>
      <x:c r="L22" s="4"/>
      <x:c r="M22" s="4"/>
    </x:row>
    <x:row r="23" ht="22" customHeight="1">
      <x:c r="A23" s="2"/>
      <x:c r="B23" s="2"/>
      <x:c r="C23" s="2" t="str">
        <x:v>Optical interconnect</x:v>
      </x:c>
      <x:c r="D23" s="91" t="n">
        <x:v>0.069</x:v>
      </x:c>
      <x:c r="E23" s="27" t="n">
        <x:v>150</x:v>
      </x:c>
      <x:c r="F23" s="27" t="n">
        <x:v>450</x:v>
      </x:c>
      <x:c r="G23" s="4"/>
      <x:c r="H23" s="4"/>
      <x:c r="I23" s="4"/>
      <x:c r="J23" s="4"/>
      <x:c r="K23" s="4"/>
      <x:c r="L23" s="4"/>
      <x:c r="M23" s="4"/>
    </x:row>
    <x:row r="24" ht="22" customHeight="1">
      <x:c r="A24" s="2"/>
      <x:c r="B24" s="2"/>
      <x:c r="C24" s="77" t="str">
        <x:v>Total</x:v>
      </x:c>
      <x:c r="D24" s="95" t="n">
        <x:f>SUM(D19:D23)</x:f>
        <x:v>1</x:v>
      </x:c>
      <x:c r="E24" s="79" t="n">
        <x:f>SUM(E19:E23)</x:f>
        <x:v>3500</x:v>
      </x:c>
      <x:c r="F24" s="79" t="n">
        <x:f>SUM(F19:F23)</x:f>
        <x:v>6500</x:v>
      </x:c>
      <x:c r="G24" s="4"/>
      <x:c r="H24" s="4"/>
      <x:c r="I24" s="4"/>
      <x:c r="J24" s="4"/>
      <x:c r="K24" s="4"/>
      <x:c r="L24" s="4"/>
      <x:c r="M24" s="4"/>
    </x:row>
    <x:row r="25" ht="22" customHeight="1">
      <x:c r="A25" s="2"/>
      <x:c r="B25" s="2"/>
      <x:c r="C25" s="2"/>
      <x:c r="D25" s="2"/>
      <x:c r="E25" s="4"/>
      <x:c r="F25" s="4"/>
      <x:c r="G25" s="4"/>
      <x:c r="H25" s="4"/>
      <x:c r="I25" s="4"/>
      <x:c r="J25" s="4"/>
      <x:c r="K25" s="4"/>
      <x:c r="L25" s="4"/>
      <x:c r="M25" s="4"/>
    </x:row>
    <x:row r="26" ht="22" customHeight="1">
      <x:c r="A26" s="2"/>
      <x:c r="B26" s="2"/>
      <x:c r="C26" s="14" t="str">
        <x:v>Budget shares are supplied assumptions; they are not calculated from cost-range midpoints.</x:v>
      </x:c>
      <x:c r="D26" s="2"/>
      <x:c r="E26" s="4"/>
      <x:c r="F26" s="4"/>
      <x:c r="G26" s="4"/>
      <x:c r="H26" s="4"/>
      <x:c r="I26" s="4"/>
      <x:c r="J26" s="4"/>
      <x:c r="K26" s="4"/>
      <x:c r="L26" s="4"/>
      <x:c r="M26" s="4"/>
    </x:row>
    <x:row r="27" ht="22" customHeight="1">
      <x:c r="A27" s="2"/>
      <x:c r="B27" s="2"/>
      <x:c r="C27" s="2"/>
      <x:c r="D27" s="2"/>
      <x:c r="E27" s="4"/>
      <x:c r="F27" s="4"/>
      <x:c r="G27" s="4"/>
      <x:c r="H27" s="4"/>
      <x:c r="I27" s="4"/>
      <x:c r="J27" s="4"/>
      <x:c r="K27" s="4"/>
      <x:c r="L27" s="4"/>
      <x:c r="M27" s="4"/>
    </x:row>
    <x:row r="28" ht="22" customHeight="1">
      <x:c r="A28" s="2"/>
      <x:c r="B28" s="2"/>
      <x:c r="C28" s="39" t="str">
        <x:v>Autonomy hardware costs (USD per vehicle)</x:v>
      </x:c>
      <x:c r="D28" s="40"/>
      <x:c r="E28" s="41"/>
      <x:c r="F28" s="41"/>
      <x:c r="G28" s="41"/>
      <x:c r="H28" s="4"/>
      <x:c r="I28" s="4"/>
      <x:c r="J28" s="4"/>
      <x:c r="K28" s="4"/>
      <x:c r="L28" s="4"/>
      <x:c r="M28" s="4"/>
    </x:row>
    <x:row r="29" ht="32" customHeight="1">
      <x:c r="A29" s="2"/>
      <x:c r="B29" s="2"/>
      <x:c r="C29" s="24" t="str">
        <x:v>Generation</x:v>
      </x:c>
      <x:c r="D29" s="96" t="str">
        <x:v>Low estimate</x:v>
      </x:c>
      <x:c r="E29" s="97" t="str">
        <x:v>High estimate</x:v>
      </x:c>
      <x:c r="F29" s="97" t="str">
        <x:v>Midpoint</x:v>
      </x:c>
      <x:c r="G29" s="97" t="str">
        <x:v>Share of COGS</x:v>
      </x:c>
      <x:c r="H29" s="4"/>
      <x:c r="I29" s="4"/>
      <x:c r="J29" s="4"/>
      <x:c r="K29" s="4"/>
      <x:c r="L29" s="4"/>
      <x:c r="M29" s="4"/>
    </x:row>
    <x:row r="30" ht="22" customHeight="1">
      <x:c r="A30" s="2"/>
      <x:c r="B30" s="2"/>
      <x:c r="C30" s="2" t="str">
        <x:v>AI3</x:v>
      </x:c>
      <x:c r="D30" s="98" t="n">
        <x:v>670</x:v>
      </x:c>
      <x:c r="E30" s="66" t="n">
        <x:v>830</x:v>
      </x:c>
      <x:c r="F30" s="99" t="n">
        <x:f>AVERAGE(D30:E30)</x:f>
        <x:v>750</x:v>
      </x:c>
      <x:c r="G30" s="100" t="n">
        <x:f>F30/Assumptions!$E$73</x:f>
        <x:v>0.020833333333333332</x:v>
      </x:c>
      <x:c r="H30" s="4"/>
      <x:c r="I30" s="4"/>
      <x:c r="J30" s="4"/>
      <x:c r="K30" s="4"/>
      <x:c r="L30" s="4"/>
      <x:c r="M30" s="4"/>
    </x:row>
    <x:row r="31" ht="22" customHeight="1">
      <x:c r="A31" s="2"/>
      <x:c r="B31" s="2"/>
      <x:c r="C31" s="2" t="str">
        <x:v>AI4</x:v>
      </x:c>
      <x:c r="D31" s="98" t="n">
        <x:v>1080</x:v>
      </x:c>
      <x:c r="E31" s="66" t="n">
        <x:v>1280</x:v>
      </x:c>
      <x:c r="F31" s="99" t="n">
        <x:f>AVERAGE(D31:E31)</x:f>
        <x:v>1180</x:v>
      </x:c>
      <x:c r="G31" s="100" t="n">
        <x:f>F31/Assumptions!$E$73</x:f>
        <x:v>0.03277777777777778</x:v>
      </x:c>
      <x:c r="H31" s="4"/>
      <x:c r="I31" s="4"/>
      <x:c r="J31" s="4"/>
      <x:c r="K31" s="4"/>
      <x:c r="L31" s="4"/>
      <x:c r="M31" s="4"/>
    </x:row>
    <x:row r="32" ht="22" customHeight="1">
      <x:c r="A32" s="2"/>
      <x:c r="B32" s="2"/>
      <x:c r="C32" s="2" t="str">
        <x:v>AI5</x:v>
      </x:c>
      <x:c r="D32" s="98" t="n">
        <x:v>2380</x:v>
      </x:c>
      <x:c r="E32" s="66" t="n">
        <x:v>3210</x:v>
      </x:c>
      <x:c r="F32" s="99" t="n">
        <x:f>AVERAGE(D32:E32)</x:f>
        <x:v>2795</x:v>
      </x:c>
      <x:c r="G32" s="100" t="n">
        <x:f>F32/Assumptions!$E$73</x:f>
        <x:v>0.07763888888888888</x:v>
      </x:c>
      <x:c r="H32" s="4"/>
      <x:c r="I32" s="4"/>
      <x:c r="J32" s="4"/>
      <x:c r="K32" s="4"/>
      <x:c r="L32" s="4"/>
      <x:c r="M32" s="4"/>
    </x:row>
    <x:row r="33" ht="22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2" customHeight="1">
      <x:c r="A34" s="2"/>
      <x:c r="B34" s="2"/>
      <x:c r="C34" s="2"/>
      <x:c r="D34" s="2"/>
      <x:c r="E34" s="4"/>
      <x:c r="F34" s="4"/>
      <x:c r="G34" s="4"/>
      <x:c r="H34" s="4"/>
      <x:c r="I34" s="4"/>
      <x:c r="J34" s="4"/>
      <x:c r="K34" s="4"/>
      <x:c r="L34" s="4"/>
      <x:c r="M34" s="4"/>
    </x:row>
    <x:row r="35" ht="22" customHeight="1">
      <x:c r="A35" s="2"/>
      <x:c r="B35" s="2"/>
      <x:c r="C35" s="14" t="str">
        <x:v>Source: supplied Tesla report and Tesla_Financial_Analysis.ipynb (edition 30 March 2022).</x:v>
      </x:c>
      <x:c r="D35" s="2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22" customHeight="1">
      <x:c r="A36" s="2"/>
      <x:c r="B36" s="2"/>
      <x:c r="C36" s="14" t="str">
        <x:v>Hardware figures are source estimates, not verified product specifications or current prices.</x:v>
      </x:c>
      <x:c r="D36" s="2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22" customHeight="1">
      <x:c r="A37" s="2"/>
      <x:c r="B37" s="2"/>
      <x:c r="C37" s="2"/>
      <x:c r="D37" s="2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22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2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22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2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22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22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22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2"/>
      <x:c r="D66" s="2"/>
      <x:c r="E66" s="4"/>
      <x:c r="F66" s="4"/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2"/>
      <x:c r="D67" s="2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2"/>
      <x:c r="D68" s="2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2"/>
      <x:c r="D70" s="2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2"/>
      <x:c r="D72" s="2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22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2"/>
      <x:c r="D76" s="2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2" customHeight="1">
      <x:c r="A1" s="2"/>
      <x:c r="B1" s="2"/>
      <x:c r="C1" s="2"/>
      <x:c r="D1" s="2"/>
      <x:c r="E1" s="4"/>
      <x:c r="F1" s="4"/>
      <x:c r="G1" s="4"/>
      <x:c r="H1" s="4"/>
      <x:c r="I1" s="4"/>
      <x:c r="J1" s="4"/>
      <x:c r="K1" s="4"/>
      <x:c r="L1" s="4"/>
      <x:c r="M1" s="4"/>
    </x:row>
    <x:row r="2" ht="31" customHeight="1">
      <x:c r="A2" s="2"/>
      <x:c r="B2" s="2"/>
      <x:c r="C2" s="8" t="str">
        <x:v>Historical source data</x:v>
      </x:c>
      <x:c r="D2" s="2"/>
      <x:c r="E2" s="4"/>
      <x:c r="F2" s="4"/>
      <x:c r="G2" s="4"/>
      <x:c r="H2" s="4"/>
      <x:c r="I2" s="4"/>
      <x:c r="J2" s="4"/>
      <x:c r="K2" s="4"/>
      <x:c r="L2" s="4"/>
      <x:c r="M2" s="4"/>
    </x:row>
    <x:row r="3" ht="22" customHeight="1">
      <x:c r="A3" s="2"/>
      <x:c r="B3" s="2"/>
      <x:c r="C3" s="6"/>
      <x:c r="D3" s="6"/>
      <x:c r="E3" s="7"/>
      <x:c r="F3" s="7"/>
      <x:c r="G3" s="7"/>
      <x:c r="H3" s="7"/>
      <x:c r="I3" s="7"/>
      <x:c r="J3" s="7"/>
      <x:c r="K3" s="7"/>
      <x:c r="L3" s="7"/>
      <x:c r="M3" s="7"/>
    </x:row>
    <x:row r="4" ht="22" customHeight="1">
      <x:c r="A4" s="2"/>
      <x:c r="B4" s="2"/>
      <x:c r="C4" s="14" t="str">
        <x:v>USD millions. The two reported margin rows contain percentage points.</x:v>
      </x:c>
      <x:c r="D4" s="2"/>
      <x:c r="E4" s="4"/>
      <x:c r="F4" s="4"/>
      <x:c r="G4" s="4"/>
      <x:c r="H4" s="4"/>
      <x:c r="I4" s="4"/>
      <x:c r="J4" s="4"/>
      <x:c r="K4" s="4"/>
      <x:c r="L4" s="4"/>
      <x:c r="M4" s="4"/>
    </x:row>
    <x:row r="5" ht="22" customHeight="1">
      <x:c r="A5" s="2"/>
      <x:c r="B5" s="2"/>
      <x:c r="C5" s="9" t="str">
        <x:v>Case Selected:</x:v>
      </x:c>
      <x:c r="D5" s="2"/>
      <x:c r="E5" s="12" t="str">
        <x:f>Assumptions!G5</x:f>
        <x:v>Baseline taper</x:v>
      </x:c>
      <x:c r="F5" s="4"/>
      <x:c r="G5" s="4"/>
      <x:c r="H5" s="4"/>
      <x:c r="I5" s="4"/>
      <x:c r="J5" s="4"/>
      <x:c r="K5" s="4"/>
      <x:c r="L5" s="4"/>
      <x:c r="M5" s="4"/>
    </x:row>
    <x:row r="6" ht="22" customHeight="1">
      <x:c r="A6" s="2"/>
      <x:c r="B6" s="2"/>
      <x:c r="C6" s="2"/>
      <x:c r="D6" s="2"/>
      <x:c r="E6" s="4"/>
      <x:c r="F6" s="4"/>
      <x:c r="G6" s="4"/>
      <x:c r="H6" s="4"/>
      <x:c r="I6" s="4"/>
      <x:c r="J6" s="4"/>
      <x:c r="K6" s="4"/>
      <x:c r="L6" s="4"/>
      <x:c r="M6" s="4"/>
    </x:row>
    <x:row r="7" ht="26" customHeight="1">
      <x:c r="A7" s="2"/>
      <x:c r="B7" s="2"/>
      <x:c r="C7" s="24" t="str">
        <x:v>Supplied metric</x:v>
      </x:c>
      <x:c r="D7" s="24"/>
      <x:c r="E7" s="26" t="n">
        <x:v>2012</x:v>
      </x:c>
      <x:c r="F7" s="26" t="n">
        <x:v>2013</x:v>
      </x:c>
      <x:c r="G7" s="26" t="n">
        <x:v>2014</x:v>
      </x:c>
      <x:c r="H7" s="26" t="n">
        <x:v>2015</x:v>
      </x:c>
      <x:c r="I7" s="26" t="n">
        <x:v>2016</x:v>
      </x:c>
      <x:c r="J7" s="26" t="n">
        <x:v>2017</x:v>
      </x:c>
      <x:c r="K7" s="26" t="n">
        <x:v>2018</x:v>
      </x:c>
      <x:c r="L7" s="26" t="n">
        <x:v>2019</x:v>
      </x:c>
      <x:c r="M7" s="26" t="n">
        <x:v>2020</x:v>
      </x:c>
    </x:row>
    <x:row r="8" ht="22" customHeight="1">
      <x:c r="A8" s="2"/>
      <x:c r="B8" s="2"/>
      <x:c r="C8" s="9" t="str">
        <x:v>Total revenue</x:v>
      </x:c>
      <x:c r="D8" s="2"/>
      <x:c r="E8" s="27" t="n">
        <x:v>413.26</x:v>
      </x:c>
      <x:c r="F8" s="27" t="n">
        <x:v>2013.5</x:v>
      </x:c>
      <x:c r="G8" s="27" t="n">
        <x:v>3198.36</x:v>
      </x:c>
      <x:c r="H8" s="27" t="n">
        <x:v>4046.03</x:v>
      </x:c>
      <x:c r="I8" s="27" t="n">
        <x:v>7000.13</x:v>
      </x:c>
      <x:c r="J8" s="27" t="n">
        <x:v>11758.75</x:v>
      </x:c>
      <x:c r="K8" s="27" t="n">
        <x:v>21461.27</x:v>
      </x:c>
      <x:c r="L8" s="27" t="n">
        <x:v>24578</x:v>
      </x:c>
      <x:c r="M8" s="27" t="n">
        <x:v>31536</x:v>
      </x:c>
    </x:row>
    <x:row r="9" ht="22" customHeight="1">
      <x:c r="A9" s="2"/>
      <x:c r="B9" s="2"/>
      <x:c r="C9" s="9" t="str">
        <x:v>Automotive sales (includes credits)</x:v>
      </x:c>
      <x:c r="D9" s="2"/>
      <x:c r="E9" s="27" t="n">
        <x:v>385.69</x:v>
      </x:c>
      <x:c r="F9" s="27" t="n">
        <x:v>1940.47</x:v>
      </x:c>
      <x:c r="G9" s="27" t="n">
        <x:v>3006.84</x:v>
      </x:c>
      <x:c r="H9" s="27" t="n">
        <x:v>3740.97</x:v>
      </x:c>
      <x:c r="I9" s="27" t="n">
        <x:v>6352.56</x:v>
      </x:c>
      <x:c r="J9" s="27" t="n">
        <x:v>10211.6</x:v>
      </x:c>
      <x:c r="K9" s="27" t="n">
        <x:v>18506</x:v>
      </x:c>
      <x:c r="L9" s="27" t="n">
        <x:v>20872</x:v>
      </x:c>
      <x:c r="M9" s="27" t="n">
        <x:v>27238</x:v>
      </x:c>
    </x:row>
    <x:row r="10" ht="22" customHeight="1">
      <x:c r="A10" s="2"/>
      <x:c r="B10" s="2"/>
      <x:c r="C10" s="9" t="str">
        <x:v>Regulatory-credit revenue</x:v>
      </x:c>
      <x:c r="D10" s="2"/>
      <x:c r="E10" s="27" t="n">
        <x:v>40.5</x:v>
      </x:c>
      <x:c r="F10" s="27" t="n">
        <x:v>194.4</x:v>
      </x:c>
      <x:c r="G10" s="27" t="n">
        <x:v>216.3</x:v>
      </x:c>
      <x:c r="H10" s="27" t="n">
        <x:v>168.7</x:v>
      </x:c>
      <x:c r="I10" s="27" t="n">
        <x:v>302.3</x:v>
      </x:c>
      <x:c r="J10" s="27" t="n">
        <x:v>360.3</x:v>
      </x:c>
      <x:c r="K10" s="27" t="n">
        <x:v>418.6</x:v>
      </x:c>
      <x:c r="L10" s="27" t="n">
        <x:v>594</x:v>
      </x:c>
      <x:c r="M10" s="27" t="n">
        <x:v>1580</x:v>
      </x:c>
    </x:row>
    <x:row r="11" ht="22" customHeight="1">
      <x:c r="A11" s="2"/>
      <x:c r="B11" s="2"/>
      <x:c r="C11" s="9" t="str">
        <x:v>Energy revenue</x:v>
      </x:c>
      <x:c r="D11" s="2"/>
      <x:c r="E11" s="27" t="n">
        <x:v>0</x:v>
      </x:c>
      <x:c r="F11" s="27" t="n">
        <x:v>0</x:v>
      </x:c>
      <x:c r="G11" s="27" t="n">
        <x:v>0</x:v>
      </x:c>
      <x:c r="H11" s="27" t="n">
        <x:v>14.48</x:v>
      </x:c>
      <x:c r="I11" s="27" t="n">
        <x:v>181.39</x:v>
      </x:c>
      <x:c r="J11" s="27" t="n">
        <x:v>1116.27</x:v>
      </x:c>
      <x:c r="K11" s="27" t="n">
        <x:v>1555</x:v>
      </x:c>
      <x:c r="L11" s="27" t="n">
        <x:v>1531</x:v>
      </x:c>
      <x:c r="M11" s="27" t="n">
        <x:v>1994</x:v>
      </x:c>
    </x:row>
    <x:row r="12" ht="22" customHeight="1">
      <x:c r="A12" s="2"/>
      <x:c r="B12" s="2"/>
      <x:c r="C12" s="9" t="str">
        <x:v>Services revenue</x:v>
      </x:c>
      <x:c r="D12" s="2"/>
      <x:c r="E12" s="27" t="n">
        <x:v>27.57</x:v>
      </x:c>
      <x:c r="F12" s="27" t="n">
        <x:v>73.03</x:v>
      </x:c>
      <x:c r="G12" s="27" t="n">
        <x:v>191.52</x:v>
      </x:c>
      <x:c r="H12" s="27" t="n">
        <x:v>290.58</x:v>
      </x:c>
      <x:c r="I12" s="27" t="n">
        <x:v>466.18</x:v>
      </x:c>
      <x:c r="J12" s="27" t="n">
        <x:v>787.48</x:v>
      </x:c>
      <x:c r="K12" s="27" t="n">
        <x:v>1391</x:v>
      </x:c>
      <x:c r="L12" s="27" t="n">
        <x:v>2226</x:v>
      </x:c>
      <x:c r="M12" s="27" t="n">
        <x:v>2306</x:v>
      </x:c>
    </x:row>
    <x:row r="13" ht="22" customHeight="1">
      <x:c r="A13" s="2"/>
      <x:c r="B13" s="2"/>
      <x:c r="C13" s="9" t="str">
        <x:v>Cost of revenue</x:v>
      </x:c>
      <x:c r="D13" s="2"/>
      <x:c r="E13" s="27" t="n">
        <x:v>383.22</x:v>
      </x:c>
      <x:c r="F13" s="27" t="n">
        <x:v>1557.24</x:v>
      </x:c>
      <x:c r="G13" s="27" t="n">
        <x:v>2316.69</x:v>
      </x:c>
      <x:c r="H13" s="27" t="n">
        <x:v>3122.52</x:v>
      </x:c>
      <x:c r="I13" s="27" t="n">
        <x:v>5400.88</x:v>
      </x:c>
      <x:c r="J13" s="27" t="n">
        <x:v>9536.26</x:v>
      </x:c>
      <x:c r="K13" s="27" t="n">
        <x:v>17419</x:v>
      </x:c>
      <x:c r="L13" s="27" t="n">
        <x:v>20509</x:v>
      </x:c>
      <x:c r="M13" s="27" t="n">
        <x:v>24906</x:v>
      </x:c>
    </x:row>
    <x:row r="14" ht="22" customHeight="1">
      <x:c r="A14" s="2"/>
      <x:c r="B14" s="2"/>
      <x:c r="C14" s="9" t="str">
        <x:v>Automotive cost of sales</x:v>
      </x:c>
      <x:c r="D14" s="2"/>
      <x:c r="E14" s="27" t="n">
        <x:v>357.54</x:v>
      </x:c>
      <x:c r="F14" s="27" t="n">
        <x:v>1496.88</x:v>
      </x:c>
      <x:c r="G14" s="27" t="n">
        <x:v>2185.34</x:v>
      </x:c>
      <x:c r="H14" s="27" t="n">
        <x:v>2823.31</x:v>
      </x:c>
      <x:c r="I14" s="27" t="n">
        <x:v>4778</x:v>
      </x:c>
      <x:c r="J14" s="27" t="n">
        <x:v>8438</x:v>
      </x:c>
      <x:c r="K14" s="27" t="n">
        <x:v>14640</x:v>
      </x:c>
      <x:c r="L14" s="27" t="n">
        <x:v>16984</x:v>
      </x:c>
      <x:c r="M14" s="27" t="n">
        <x:v>20288</x:v>
      </x:c>
    </x:row>
    <x:row r="15" ht="22" customHeight="1">
      <x:c r="A15" s="2"/>
      <x:c r="B15" s="2"/>
      <x:c r="C15" s="9" t="str">
        <x:v>Gross profit</x:v>
      </x:c>
      <x:c r="D15" s="2"/>
      <x:c r="E15" s="27" t="n">
        <x:v>30.04</x:v>
      </x:c>
      <x:c r="F15" s="27" t="n">
        <x:v>456.26</x:v>
      </x:c>
      <x:c r="G15" s="27" t="n">
        <x:v>881.67</x:v>
      </x:c>
      <x:c r="H15" s="27" t="n">
        <x:v>923.51</x:v>
      </x:c>
      <x:c r="I15" s="27" t="n">
        <x:v>1599.25</x:v>
      </x:c>
      <x:c r="J15" s="27" t="n">
        <x:v>2222.49</x:v>
      </x:c>
      <x:c r="K15" s="27" t="n">
        <x:v>4042.27</x:v>
      </x:c>
      <x:c r="L15" s="27" t="n">
        <x:v>4069</x:v>
      </x:c>
      <x:c r="M15" s="27" t="n">
        <x:v>6630</x:v>
      </x:c>
    </x:row>
    <x:row r="16" ht="22" customHeight="1">
      <x:c r="A16" s="2"/>
      <x:c r="B16" s="2"/>
      <x:c r="C16" s="9" t="str">
        <x:v>Reported gross margin (percentage points)</x:v>
      </x:c>
      <x:c r="D16" s="2"/>
      <x:c r="E16" s="28" t="n">
        <x:v>7.27</x:v>
      </x:c>
      <x:c r="F16" s="28" t="n">
        <x:v>22.66</x:v>
      </x:c>
      <x:c r="G16" s="28" t="n">
        <x:v>27.57</x:v>
      </x:c>
      <x:c r="H16" s="28" t="n">
        <x:v>22.83</x:v>
      </x:c>
      <x:c r="I16" s="28" t="n">
        <x:v>22.85</x:v>
      </x:c>
      <x:c r="J16" s="28" t="n">
        <x:v>18.9</x:v>
      </x:c>
      <x:c r="K16" s="28" t="n">
        <x:v>18.83</x:v>
      </x:c>
      <x:c r="L16" s="28" t="n">
        <x:v>16.56</x:v>
      </x:c>
      <x:c r="M16" s="28" t="n">
        <x:v>21.02</x:v>
      </x:c>
    </x:row>
    <x:row r="17" ht="22" customHeight="1">
      <x:c r="A17" s="2"/>
      <x:c r="B17" s="2"/>
      <x:c r="C17" s="9" t="str">
        <x:v>Research and development</x:v>
      </x:c>
      <x:c r="D17" s="2"/>
      <x:c r="E17" s="27" t="n">
        <x:v>273.98</x:v>
      </x:c>
      <x:c r="F17" s="27" t="n">
        <x:v>231.98</x:v>
      </x:c>
      <x:c r="G17" s="27" t="n">
        <x:v>464.7</x:v>
      </x:c>
      <x:c r="H17" s="27" t="n">
        <x:v>717.9</x:v>
      </x:c>
      <x:c r="I17" s="27" t="n">
        <x:v>834.41</x:v>
      </x:c>
      <x:c r="J17" s="27" t="n">
        <x:v>1378.07</x:v>
      </x:c>
      <x:c r="K17" s="27" t="n">
        <x:v>1460</x:v>
      </x:c>
      <x:c r="L17" s="27" t="n">
        <x:v>1343</x:v>
      </x:c>
      <x:c r="M17" s="27" t="n">
        <x:v>1491</x:v>
      </x:c>
    </x:row>
    <x:row r="18" ht="22" customHeight="1">
      <x:c r="A18" s="2"/>
      <x:c r="B18" s="2"/>
      <x:c r="C18" s="9" t="str">
        <x:v>Selling, general and administrative</x:v>
      </x:c>
      <x:c r="D18" s="2"/>
      <x:c r="E18" s="27" t="n">
        <x:v>150.37</x:v>
      </x:c>
      <x:c r="F18" s="27" t="n">
        <x:v>285.6</x:v>
      </x:c>
      <x:c r="G18" s="27" t="n">
        <x:v>603.67</x:v>
      </x:c>
      <x:c r="H18" s="27" t="n">
        <x:v>922.23</x:v>
      </x:c>
      <x:c r="I18" s="27" t="n">
        <x:v>1432.19</x:v>
      </x:c>
      <x:c r="J18" s="27" t="n">
        <x:v>2476.5</x:v>
      </x:c>
      <x:c r="K18" s="27" t="n">
        <x:v>2834</x:v>
      </x:c>
      <x:c r="L18" s="27" t="n">
        <x:v>2646</x:v>
      </x:c>
      <x:c r="M18" s="27" t="n">
        <x:v>3145</x:v>
      </x:c>
    </x:row>
    <x:row r="19" ht="22" customHeight="1">
      <x:c r="A19" s="2"/>
      <x:c r="B19" s="2"/>
      <x:c r="C19" s="9" t="str">
        <x:v>Operating expenses</x:v>
      </x:c>
      <x:c r="D19" s="2"/>
      <x:c r="E19" s="27" t="n">
        <x:v>424.35</x:v>
      </x:c>
      <x:c r="F19" s="27" t="n">
        <x:v>517.58</x:v>
      </x:c>
      <x:c r="G19" s="27" t="n">
        <x:v>1068.37</x:v>
      </x:c>
      <x:c r="H19" s="27" t="n">
        <x:v>1640.13</x:v>
      </x:c>
      <x:c r="I19" s="27" t="n">
        <x:v>2266.6</x:v>
      </x:c>
      <x:c r="J19" s="27" t="n">
        <x:v>3854.57</x:v>
      </x:c>
      <x:c r="K19" s="27" t="n">
        <x:v>4294</x:v>
      </x:c>
      <x:c r="L19" s="27" t="n">
        <x:v>3989</x:v>
      </x:c>
      <x:c r="M19" s="27" t="n">
        <x:v>4636</x:v>
      </x:c>
    </x:row>
    <x:row r="20" ht="22" customHeight="1">
      <x:c r="A20" s="2"/>
      <x:c r="B20" s="2"/>
      <x:c r="C20" s="9" t="str">
        <x:v>Operating income</x:v>
      </x:c>
      <x:c r="D20" s="2"/>
      <x:c r="E20" s="27" t="n">
        <x:v>-394.31</x:v>
      </x:c>
      <x:c r="F20" s="27" t="n">
        <x:v>-61.32</x:v>
      </x:c>
      <x:c r="G20" s="27" t="n">
        <x:v>-186.7</x:v>
      </x:c>
      <x:c r="H20" s="27" t="n">
        <x:v>-716.62</x:v>
      </x:c>
      <x:c r="I20" s="27" t="n">
        <x:v>-667.35</x:v>
      </x:c>
      <x:c r="J20" s="27" t="n">
        <x:v>-1632.08</x:v>
      </x:c>
      <x:c r="K20" s="27" t="n">
        <x:v>-251.73</x:v>
      </x:c>
      <x:c r="L20" s="27" t="n">
        <x:v>-69</x:v>
      </x:c>
      <x:c r="M20" s="27" t="n">
        <x:v>1994</x:v>
      </x:c>
    </x:row>
    <x:row r="21" ht="22" customHeight="1">
      <x:c r="A21" s="2"/>
      <x:c r="B21" s="2"/>
      <x:c r="C21" s="9" t="str">
        <x:v>Reported operating margin (percentage points)</x:v>
      </x:c>
      <x:c r="D21" s="2"/>
      <x:c r="E21" s="28" t="n">
        <x:v>-95.41</x:v>
      </x:c>
      <x:c r="F21" s="28" t="n">
        <x:v>-3.05</x:v>
      </x:c>
      <x:c r="G21" s="28" t="n">
        <x:v>-5.84</x:v>
      </x:c>
      <x:c r="H21" s="28" t="n">
        <x:v>-17.71</x:v>
      </x:c>
      <x:c r="I21" s="28" t="n">
        <x:v>-9.53</x:v>
      </x:c>
      <x:c r="J21" s="28" t="n">
        <x:v>-13.88</x:v>
      </x:c>
      <x:c r="K21" s="28" t="n">
        <x:v>-1.17</x:v>
      </x:c>
      <x:c r="L21" s="28" t="n">
        <x:v>-0.28</x:v>
      </x:c>
      <x:c r="M21" s="28" t="n">
        <x:v>6.32</x:v>
      </x:c>
    </x:row>
    <x:row r="22" ht="22" customHeight="1">
      <x:c r="A22" s="2"/>
      <x:c r="B22" s="2"/>
      <x:c r="C22" s="9" t="str">
        <x:v>Interest expense</x:v>
      </x:c>
      <x:c r="D22" s="2"/>
      <x:c r="E22" s="27" t="n">
        <x:v>-0.4</x:v>
      </x:c>
      <x:c r="F22" s="27" t="n">
        <x:v>-32.93</x:v>
      </x:c>
      <x:c r="G22" s="27" t="n">
        <x:v>-100.89</x:v>
      </x:c>
      <x:c r="H22" s="27" t="n">
        <x:v>-118.85</x:v>
      </x:c>
      <x:c r="I22" s="27" t="n">
        <x:v>-198.81</x:v>
      </x:c>
      <x:c r="J22" s="27" t="n">
        <x:v>-471.26</x:v>
      </x:c>
      <x:c r="K22" s="27" t="n">
        <x:v>-663</x:v>
      </x:c>
      <x:c r="L22" s="27" t="n">
        <x:v>-685</x:v>
      </x:c>
      <x:c r="M22" s="27" t="n">
        <x:v>-748</x:v>
      </x:c>
    </x:row>
    <x:row r="23" ht="22" customHeight="1">
      <x:c r="A23" s="2"/>
      <x:c r="B23" s="2"/>
      <x:c r="C23" s="9" t="str">
        <x:v>Other income / expense</x:v>
      </x:c>
      <x:c r="D23" s="2"/>
      <x:c r="E23" s="27" t="n">
        <x:v>0</x:v>
      </x:c>
      <x:c r="F23" s="27" t="n">
        <x:v>0</x:v>
      </x:c>
      <x:c r="G23" s="27" t="n">
        <x:v>0</x:v>
      </x:c>
      <x:c r="H23" s="27" t="n">
        <x:v>0</x:v>
      </x:c>
      <x:c r="I23" s="27" t="n">
        <x:v>74.7</x:v>
      </x:c>
      <x:c r="J23" s="27" t="n">
        <x:v>28.7</x:v>
      </x:c>
      <x:c r="K23" s="27" t="n">
        <x:v>-42</x:v>
      </x:c>
      <x:c r="L23" s="27" t="n">
        <x:v>45</x:v>
      </x:c>
      <x:c r="M23" s="27" t="n">
        <x:v>-85</x:v>
      </x:c>
    </x:row>
    <x:row r="24" ht="22" customHeight="1">
      <x:c r="A24" s="2"/>
      <x:c r="B24" s="2"/>
      <x:c r="C24" s="9" t="str">
        <x:v>Pretax income</x:v>
      </x:c>
      <x:c r="D24" s="2"/>
      <x:c r="E24" s="27" t="n">
        <x:v>-396.21</x:v>
      </x:c>
      <x:c r="F24" s="27" t="n">
        <x:v>-73.54</x:v>
      </x:c>
      <x:c r="G24" s="27" t="n">
        <x:v>-284.59</x:v>
      </x:c>
      <x:c r="H24" s="27" t="n">
        <x:v>-875.58</x:v>
      </x:c>
      <x:c r="I24" s="27" t="n">
        <x:v>-746.34</x:v>
      </x:c>
      <x:c r="J24" s="27" t="n">
        <x:v>-2051.64</x:v>
      </x:c>
      <x:c r="K24" s="27" t="n">
        <x:v>-1005</x:v>
      </x:c>
      <x:c r="L24" s="27" t="n">
        <x:v>-767</x:v>
      </x:c>
      <x:c r="M24" s="27" t="n">
        <x:v>1154</x:v>
      </x:c>
    </x:row>
    <x:row r="25" ht="22" customHeight="1">
      <x:c r="A25" s="2"/>
      <x:c r="B25" s="2"/>
      <x:c r="C25" s="9" t="str">
        <x:v>Income tax</x:v>
      </x:c>
      <x:c r="D25" s="2"/>
      <x:c r="E25" s="27" t="n">
        <x:v>0</x:v>
      </x:c>
      <x:c r="F25" s="27" t="n">
        <x:v>0</x:v>
      </x:c>
      <x:c r="G25" s="27" t="n">
        <x:v>0</x:v>
      </x:c>
      <x:c r="H25" s="27" t="n">
        <x:v>0</x:v>
      </x:c>
      <x:c r="I25" s="27" t="n">
        <x:v>26.7</x:v>
      </x:c>
      <x:c r="J25" s="27" t="n">
        <x:v>31.55</x:v>
      </x:c>
      <x:c r="K25" s="27" t="n">
        <x:v>58</x:v>
      </x:c>
      <x:c r="L25" s="27" t="n">
        <x:v>110</x:v>
      </x:c>
      <x:c r="M25" s="27" t="n">
        <x:v>292</x:v>
      </x:c>
    </x:row>
    <x:row r="26" ht="22" customHeight="1">
      <x:c r="A26" s="2"/>
      <x:c r="B26" s="2"/>
      <x:c r="C26" s="9" t="str">
        <x:v>Net income</x:v>
      </x:c>
      <x:c r="D26" s="2"/>
      <x:c r="E26" s="27" t="n">
        <x:v>-396.21</x:v>
      </x:c>
      <x:c r="F26" s="27" t="n">
        <x:v>-74.01</x:v>
      </x:c>
      <x:c r="G26" s="27" t="n">
        <x:v>-294.04</x:v>
      </x:c>
      <x:c r="H26" s="27" t="n">
        <x:v>-888.66</x:v>
      </x:c>
      <x:c r="I26" s="27" t="n">
        <x:v>-674.91</x:v>
      </x:c>
      <x:c r="J26" s="27" t="n">
        <x:v>-1961.4</x:v>
      </x:c>
      <x:c r="K26" s="27" t="n">
        <x:v>-976</x:v>
      </x:c>
      <x:c r="L26" s="27" t="n">
        <x:v>-862</x:v>
      </x:c>
      <x:c r="M26" s="27" t="n">
        <x:v>690</x:v>
      </x:c>
    </x:row>
    <x:row r="27" ht="22" customHeight="1">
      <x:c r="A27" s="2"/>
      <x:c r="B27" s="2"/>
      <x:c r="C27" s="9" t="str">
        <x:v>Operating cash flow</x:v>
      </x:c>
      <x:c r="D27" s="2"/>
      <x:c r="E27" s="27" t="n">
        <x:v>-266</x:v>
      </x:c>
      <x:c r="F27" s="27" t="n">
        <x:v>258</x:v>
      </x:c>
      <x:c r="G27" s="27" t="n">
        <x:v>-57.3</x:v>
      </x:c>
      <x:c r="H27" s="27" t="n">
        <x:v>-524.5</x:v>
      </x:c>
      <x:c r="I27" s="27" t="n">
        <x:v>-123.8</x:v>
      </x:c>
      <x:c r="J27" s="27" t="n">
        <x:v>-60.6</x:v>
      </x:c>
      <x:c r="K27" s="27" t="n">
        <x:v>2097.8</x:v>
      </x:c>
      <x:c r="L27" s="27" t="n">
        <x:v>2405</x:v>
      </x:c>
      <x:c r="M27" s="27" t="n">
        <x:v>5943</x:v>
      </x:c>
    </x:row>
    <x:row r="28" ht="22" customHeight="1">
      <x:c r="A28" s="2"/>
      <x:c r="B28" s="2"/>
      <x:c r="C28" s="9" t="str">
        <x:v>Investing cash flow</x:v>
      </x:c>
      <x:c r="D28" s="2"/>
      <x:c r="E28" s="27" t="n">
        <x:v>-206</x:v>
      </x:c>
      <x:c r="F28" s="27" t="n">
        <x:v>-249</x:v>
      </x:c>
      <x:c r="G28" s="27" t="n">
        <x:v>-990</x:v>
      </x:c>
      <x:c r="H28" s="27" t="n">
        <x:v>-1673.7</x:v>
      </x:c>
      <x:c r="I28" s="27" t="n">
        <x:v>-1416.3</x:v>
      </x:c>
      <x:c r="J28" s="27" t="n">
        <x:v>-4418.9</x:v>
      </x:c>
      <x:c r="K28" s="27" t="n">
        <x:v>-2337</x:v>
      </x:c>
      <x:c r="L28" s="27" t="n">
        <x:v>-1437</x:v>
      </x:c>
      <x:c r="M28" s="27" t="n">
        <x:v>-3132</x:v>
      </x:c>
    </x:row>
    <x:row r="29" ht="22" customHeight="1">
      <x:c r="A29" s="2"/>
      <x:c r="B29" s="2"/>
      <x:c r="C29" s="9" t="str">
        <x:v>CapEx outflow (negative)</x:v>
      </x:c>
      <x:c r="D29" s="2"/>
      <x:c r="E29" s="27" t="n">
        <x:v>-239.2</x:v>
      </x:c>
      <x:c r="F29" s="27" t="n">
        <x:v>-264.2</x:v>
      </x:c>
      <x:c r="G29" s="27" t="n">
        <x:v>-969.9</x:v>
      </x:c>
      <x:c r="H29" s="27" t="n">
        <x:v>-1634.9</x:v>
      </x:c>
      <x:c r="I29" s="27" t="n">
        <x:v>-1284.7</x:v>
      </x:c>
      <x:c r="J29" s="27" t="n">
        <x:v>-3414.8</x:v>
      </x:c>
      <x:c r="K29" s="27" t="n">
        <x:v>-2100.7</x:v>
      </x:c>
      <x:c r="L29" s="27" t="n">
        <x:v>-1327</x:v>
      </x:c>
      <x:c r="M29" s="27" t="n">
        <x:v>-3157</x:v>
      </x:c>
    </x:row>
    <x:row r="30" ht="22" customHeight="1">
      <x:c r="A30" s="2"/>
      <x:c r="B30" s="2"/>
      <x:c r="C30" s="9" t="str">
        <x:v>Financing cash flow</x:v>
      </x:c>
      <x:c r="D30" s="2"/>
      <x:c r="E30" s="27" t="n">
        <x:v>418</x:v>
      </x:c>
      <x:c r="F30" s="27" t="n">
        <x:v>635</x:v>
      </x:c>
      <x:c r="G30" s="27" t="n">
        <x:v>2143</x:v>
      </x:c>
      <x:c r="H30" s="27" t="n">
        <x:v>1524</x:v>
      </x:c>
      <x:c r="I30" s="27" t="n">
        <x:v>3744</x:v>
      </x:c>
      <x:c r="J30" s="27" t="n">
        <x:v>4415</x:v>
      </x:c>
      <x:c r="K30" s="27" t="n">
        <x:v>574</x:v>
      </x:c>
      <x:c r="L30" s="27" t="n">
        <x:v>1529</x:v>
      </x:c>
      <x:c r="M30" s="27" t="n">
        <x:v>9973</x:v>
      </x:c>
    </x:row>
    <x:row r="31" ht="22" customHeight="1">
      <x:c r="A31" s="2"/>
      <x:c r="B31" s="2"/>
      <x:c r="C31" s="9" t="str">
        <x:v>Reported free cash flow</x:v>
      </x:c>
      <x:c r="D31" s="2"/>
      <x:c r="E31" s="27" t="n">
        <x:v>-505.2</x:v>
      </x:c>
      <x:c r="F31" s="27" t="n">
        <x:v>-6.2</x:v>
      </x:c>
      <x:c r="G31" s="27" t="n">
        <x:v>-1027.2</x:v>
      </x:c>
      <x:c r="H31" s="27" t="n">
        <x:v>-2159.4</x:v>
      </x:c>
      <x:c r="I31" s="27" t="n">
        <x:v>-1408.5</x:v>
      </x:c>
      <x:c r="J31" s="27" t="n">
        <x:v>-3475.4</x:v>
      </x:c>
      <x:c r="K31" s="27" t="n">
        <x:v>-2.9</x:v>
      </x:c>
      <x:c r="L31" s="27" t="n">
        <x:v>1078</x:v>
      </x:c>
      <x:c r="M31" s="27" t="n">
        <x:v>2786</x:v>
      </x:c>
    </x:row>
    <x:row r="32" ht="22" customHeight="1">
      <x:c r="A32" s="2"/>
      <x:c r="B32" s="2"/>
      <x:c r="C32" s="9" t="str">
        <x:v>Cash and equivalents</x:v>
      </x:c>
      <x:c r="D32" s="2"/>
      <x:c r="E32" s="27" t="n">
        <x:v>201</x:v>
      </x:c>
      <x:c r="F32" s="27" t="n">
        <x:v>846</x:v>
      </x:c>
      <x:c r="G32" s="27" t="n">
        <x:v>1906</x:v>
      </x:c>
      <x:c r="H32" s="27" t="n">
        <x:v>1197</x:v>
      </x:c>
      <x:c r="I32" s="27" t="n">
        <x:v>3393</x:v>
      </x:c>
      <x:c r="J32" s="27" t="n">
        <x:v>3368</x:v>
      </x:c>
      <x:c r="K32" s="27" t="n">
        <x:v>3686</x:v>
      </x:c>
      <x:c r="L32" s="27" t="n">
        <x:v>6268</x:v>
      </x:c>
      <x:c r="M32" s="27" t="n">
        <x:v>19384</x:v>
      </x:c>
    </x:row>
    <x:row r="33" ht="22" customHeight="1">
      <x:c r="A33" s="2"/>
      <x:c r="B33" s="2"/>
      <x:c r="C33" s="2"/>
      <x:c r="D33" s="2"/>
      <x:c r="E33" s="4"/>
      <x:c r="F33" s="4"/>
      <x:c r="G33" s="4"/>
      <x:c r="H33" s="4"/>
      <x:c r="I33" s="4"/>
      <x:c r="J33" s="4"/>
      <x:c r="K33" s="4"/>
      <x:c r="L33" s="4"/>
      <x:c r="M33" s="4"/>
    </x:row>
    <x:row r="34" ht="22" customHeight="1">
      <x:c r="A34" s="2"/>
      <x:c r="B34" s="2"/>
      <x:c r="C34" s="2"/>
      <x:c r="D34" s="2"/>
      <x:c r="E34" s="4"/>
      <x:c r="F34" s="4"/>
      <x:c r="G34" s="4"/>
      <x:c r="H34" s="4"/>
      <x:c r="I34" s="4"/>
      <x:c r="J34" s="4"/>
      <x:c r="K34" s="4"/>
      <x:c r="L34" s="4"/>
      <x:c r="M34" s="4"/>
    </x:row>
    <x:row r="35" ht="22" customHeight="1">
      <x:c r="A35" s="2"/>
      <x:c r="B35" s="2"/>
      <x:c r="C35" s="14" t="str">
        <x:v>Source: supplied Tesla report and Tesla_Financial_Analysis.ipynb (edition 30 March 2022).</x:v>
      </x:c>
      <x:c r="D35" s="2"/>
      <x:c r="E35" s="4"/>
      <x:c r="F35" s="4"/>
      <x:c r="G35" s="4"/>
      <x:c r="H35" s="4"/>
      <x:c r="I35" s="4"/>
      <x:c r="J35" s="4"/>
      <x:c r="K35" s="4"/>
      <x:c r="L35" s="4"/>
      <x:c r="M35" s="4"/>
    </x:row>
    <x:row r="36" ht="22" customHeight="1">
      <x:c r="A36" s="2"/>
      <x:c r="B36" s="2"/>
      <x:c r="C36" s="14" t="str">
        <x:v>Figures have not been independently reconciled to filings. Source discrepancies are shown in Historical.</x:v>
      </x:c>
      <x:c r="D36" s="2"/>
      <x:c r="E36" s="4"/>
      <x:c r="F36" s="4"/>
      <x:c r="G36" s="4"/>
      <x:c r="H36" s="4"/>
      <x:c r="I36" s="4"/>
      <x:c r="J36" s="4"/>
      <x:c r="K36" s="4"/>
      <x:c r="L36" s="4"/>
      <x:c r="M36" s="4"/>
    </x:row>
    <x:row r="37" ht="22" customHeight="1">
      <x:c r="A37" s="2"/>
      <x:c r="B37" s="2"/>
      <x:c r="C37" s="14" t="str">
        <x:v>Credits are included in automotive sales. Do not add them again to total revenue.</x:v>
      </x:c>
      <x:c r="D37" s="2"/>
      <x:c r="E37" s="4"/>
      <x:c r="F37" s="4"/>
      <x:c r="G37" s="4"/>
      <x:c r="H37" s="4"/>
      <x:c r="I37" s="4"/>
      <x:c r="J37" s="4"/>
      <x:c r="K37" s="4"/>
      <x:c r="L37" s="4"/>
      <x:c r="M37" s="4"/>
    </x:row>
    <x:row r="38" ht="22" customHeight="1">
      <x:c r="A38" s="2"/>
      <x:c r="B38" s="2"/>
      <x:c r="C38" s="2"/>
      <x:c r="D38" s="2"/>
      <x:c r="E38" s="4"/>
      <x:c r="F38" s="4"/>
      <x:c r="G38" s="4"/>
      <x:c r="H38" s="4"/>
      <x:c r="I38" s="4"/>
      <x:c r="J38" s="4"/>
      <x:c r="K38" s="4"/>
      <x:c r="L38" s="4"/>
      <x:c r="M38" s="4"/>
    </x:row>
    <x:row r="39" ht="22" customHeight="1">
      <x:c r="A39" s="2"/>
      <x:c r="B39" s="2"/>
      <x:c r="C39" s="2"/>
      <x:c r="D39" s="2"/>
      <x:c r="E39" s="4"/>
      <x:c r="F39" s="4"/>
      <x:c r="G39" s="4"/>
      <x:c r="H39" s="4"/>
      <x:c r="I39" s="4"/>
      <x:c r="J39" s="4"/>
      <x:c r="K39" s="4"/>
      <x:c r="L39" s="4"/>
      <x:c r="M39" s="4"/>
    </x:row>
    <x:row r="40" ht="22" customHeight="1">
      <x:c r="A40" s="2"/>
      <x:c r="B40" s="2"/>
      <x:c r="C40" s="2"/>
      <x:c r="D40" s="2"/>
      <x:c r="E40" s="4"/>
      <x:c r="F40" s="4"/>
      <x:c r="G40" s="4"/>
      <x:c r="H40" s="4"/>
      <x:c r="I40" s="4"/>
      <x:c r="J40" s="4"/>
      <x:c r="K40" s="4"/>
      <x:c r="L40" s="4"/>
      <x:c r="M40" s="4"/>
    </x:row>
    <x:row r="41" ht="22" customHeight="1">
      <x:c r="A41" s="2"/>
      <x:c r="B41" s="2"/>
      <x:c r="C41" s="2"/>
      <x:c r="D41" s="2"/>
      <x:c r="E41" s="4"/>
      <x:c r="F41" s="4"/>
      <x:c r="G41" s="4"/>
      <x:c r="H41" s="4"/>
      <x:c r="I41" s="4"/>
      <x:c r="J41" s="4"/>
      <x:c r="K41" s="4"/>
      <x:c r="L41" s="4"/>
      <x:c r="M41" s="4"/>
    </x:row>
    <x:row r="42" ht="22" customHeight="1">
      <x:c r="A42" s="2"/>
      <x:c r="B42" s="2"/>
      <x:c r="C42" s="2"/>
      <x:c r="D42" s="2"/>
      <x:c r="E42" s="4"/>
      <x:c r="F42" s="4"/>
      <x:c r="G42" s="4"/>
      <x:c r="H42" s="4"/>
      <x:c r="I42" s="4"/>
      <x:c r="J42" s="4"/>
      <x:c r="K42" s="4"/>
      <x:c r="L42" s="4"/>
      <x:c r="M42" s="4"/>
    </x:row>
    <x:row r="43" ht="22" customHeight="1">
      <x:c r="A43" s="2"/>
      <x:c r="B43" s="2"/>
      <x:c r="C43" s="2"/>
      <x:c r="D43" s="2"/>
      <x:c r="E43" s="4"/>
      <x:c r="F43" s="4"/>
      <x:c r="G43" s="4"/>
      <x:c r="H43" s="4"/>
      <x:c r="I43" s="4"/>
      <x:c r="J43" s="4"/>
      <x:c r="K43" s="4"/>
      <x:c r="L43" s="4"/>
      <x:c r="M43" s="4"/>
    </x:row>
    <x:row r="44" ht="22" customHeight="1">
      <x:c r="A44" s="2"/>
      <x:c r="B44" s="2"/>
      <x:c r="C44" s="2"/>
      <x:c r="D44" s="2"/>
      <x:c r="E44" s="4"/>
      <x:c r="F44" s="4"/>
      <x:c r="G44" s="4"/>
      <x:c r="H44" s="4"/>
      <x:c r="I44" s="4"/>
      <x:c r="J44" s="4"/>
      <x:c r="K44" s="4"/>
      <x:c r="L44" s="4"/>
      <x:c r="M44" s="4"/>
    </x:row>
    <x:row r="45" ht="22" customHeight="1">
      <x:c r="A45" s="2"/>
      <x:c r="B45" s="2"/>
      <x:c r="C45" s="2"/>
      <x:c r="D45" s="2"/>
      <x:c r="E45" s="4"/>
      <x:c r="F45" s="4"/>
      <x:c r="G45" s="4"/>
      <x:c r="H45" s="4"/>
      <x:c r="I45" s="4"/>
      <x:c r="J45" s="4"/>
      <x:c r="K45" s="4"/>
      <x:c r="L45" s="4"/>
      <x:c r="M45" s="4"/>
    </x:row>
    <x:row r="46" ht="22" customHeight="1">
      <x:c r="A46" s="2"/>
      <x:c r="B46" s="2"/>
      <x:c r="C46" s="2"/>
      <x:c r="D46" s="2"/>
      <x:c r="E46" s="4"/>
      <x:c r="F46" s="4"/>
      <x:c r="G46" s="4"/>
      <x:c r="H46" s="4"/>
      <x:c r="I46" s="4"/>
      <x:c r="J46" s="4"/>
      <x:c r="K46" s="4"/>
      <x:c r="L46" s="4"/>
      <x:c r="M46" s="4"/>
    </x:row>
    <x:row r="47" ht="22" customHeight="1">
      <x:c r="A47" s="2"/>
      <x:c r="B47" s="2"/>
      <x:c r="C47" s="2"/>
      <x:c r="D47" s="2"/>
      <x:c r="E47" s="4"/>
      <x:c r="F47" s="4"/>
      <x:c r="G47" s="4"/>
      <x:c r="H47" s="4"/>
      <x:c r="I47" s="4"/>
      <x:c r="J47" s="4"/>
      <x:c r="K47" s="4"/>
      <x:c r="L47" s="4"/>
      <x:c r="M47" s="4"/>
    </x:row>
    <x:row r="48" ht="22" customHeight="1">
      <x:c r="A48" s="2"/>
      <x:c r="B48" s="2"/>
      <x:c r="C48" s="2"/>
      <x:c r="D48" s="2"/>
      <x:c r="E48" s="4"/>
      <x:c r="F48" s="4"/>
      <x:c r="G48" s="4"/>
      <x:c r="H48" s="4"/>
      <x:c r="I48" s="4"/>
      <x:c r="J48" s="4"/>
      <x:c r="K48" s="4"/>
      <x:c r="L48" s="4"/>
      <x:c r="M48" s="4"/>
    </x:row>
    <x:row r="49" ht="22" customHeight="1">
      <x:c r="A49" s="2"/>
      <x:c r="B49" s="2"/>
      <x:c r="C49" s="2"/>
      <x:c r="D49" s="2"/>
      <x:c r="E49" s="4"/>
      <x:c r="F49" s="4"/>
      <x:c r="G49" s="4"/>
      <x:c r="H49" s="4"/>
      <x:c r="I49" s="4"/>
      <x:c r="J49" s="4"/>
      <x:c r="K49" s="4"/>
      <x:c r="L49" s="4"/>
      <x:c r="M49" s="4"/>
    </x:row>
    <x:row r="50" ht="22" customHeight="1">
      <x:c r="A50" s="2"/>
      <x:c r="B50" s="2"/>
      <x:c r="C50" s="2"/>
      <x:c r="D50" s="2"/>
      <x:c r="E50" s="4"/>
      <x:c r="F50" s="4"/>
      <x:c r="G50" s="4"/>
      <x:c r="H50" s="4"/>
      <x:c r="I50" s="4"/>
      <x:c r="J50" s="4"/>
      <x:c r="K50" s="4"/>
      <x:c r="L50" s="4"/>
      <x:c r="M50" s="4"/>
    </x:row>
    <x:row r="51" ht="22" customHeight="1">
      <x:c r="A51" s="2"/>
      <x:c r="B51" s="2"/>
      <x:c r="C51" s="2"/>
      <x:c r="D51" s="2"/>
      <x:c r="E51" s="4"/>
      <x:c r="F51" s="4"/>
      <x:c r="G51" s="4"/>
      <x:c r="H51" s="4"/>
      <x:c r="I51" s="4"/>
      <x:c r="J51" s="4"/>
      <x:c r="K51" s="4"/>
      <x:c r="L51" s="4"/>
      <x:c r="M51" s="4"/>
    </x:row>
    <x:row r="52" ht="22" customHeight="1">
      <x:c r="A52" s="2"/>
      <x:c r="B52" s="2"/>
      <x:c r="C52" s="2"/>
      <x:c r="D52" s="2"/>
      <x:c r="E52" s="4"/>
      <x:c r="F52" s="4"/>
      <x:c r="G52" s="4"/>
      <x:c r="H52" s="4"/>
      <x:c r="I52" s="4"/>
      <x:c r="J52" s="4"/>
      <x:c r="K52" s="4"/>
      <x:c r="L52" s="4"/>
      <x:c r="M52" s="4"/>
    </x:row>
    <x:row r="53" ht="22" customHeight="1">
      <x:c r="A53" s="2"/>
      <x:c r="B53" s="2"/>
      <x:c r="C53" s="2"/>
      <x:c r="D53" s="2"/>
      <x:c r="E53" s="4"/>
      <x:c r="F53" s="4"/>
      <x:c r="G53" s="4"/>
      <x:c r="H53" s="4"/>
      <x:c r="I53" s="4"/>
      <x:c r="J53" s="4"/>
      <x:c r="K53" s="4"/>
      <x:c r="L53" s="4"/>
      <x:c r="M53" s="4"/>
    </x:row>
    <x:row r="54" ht="22" customHeight="1">
      <x:c r="A54" s="2"/>
      <x:c r="B54" s="2"/>
      <x:c r="C54" s="2"/>
      <x:c r="D54" s="2"/>
      <x:c r="E54" s="4"/>
      <x:c r="F54" s="4"/>
      <x:c r="G54" s="4"/>
      <x:c r="H54" s="4"/>
      <x:c r="I54" s="4"/>
      <x:c r="J54" s="4"/>
      <x:c r="K54" s="4"/>
      <x:c r="L54" s="4"/>
      <x:c r="M54" s="4"/>
    </x:row>
    <x:row r="55" ht="22" customHeight="1">
      <x:c r="A55" s="2"/>
      <x:c r="B55" s="2"/>
      <x:c r="C55" s="2"/>
      <x:c r="D55" s="2"/>
      <x:c r="E55" s="4"/>
      <x:c r="F55" s="4"/>
      <x:c r="G55" s="4"/>
      <x:c r="H55" s="4"/>
      <x:c r="I55" s="4"/>
      <x:c r="J55" s="4"/>
      <x:c r="K55" s="4"/>
      <x:c r="L55" s="4"/>
      <x:c r="M55" s="4"/>
    </x:row>
    <x:row r="56" ht="22" customHeight="1">
      <x:c r="A56" s="2"/>
      <x:c r="B56" s="2"/>
      <x:c r="C56" s="2"/>
      <x:c r="D56" s="2"/>
      <x:c r="E56" s="4"/>
      <x:c r="F56" s="4"/>
      <x:c r="G56" s="4"/>
      <x:c r="H56" s="4"/>
      <x:c r="I56" s="4"/>
      <x:c r="J56" s="4"/>
      <x:c r="K56" s="4"/>
      <x:c r="L56" s="4"/>
      <x:c r="M56" s="4"/>
    </x:row>
    <x:row r="57" ht="22" customHeight="1">
      <x:c r="A57" s="2"/>
      <x:c r="B57" s="2"/>
      <x:c r="C57" s="2"/>
      <x:c r="D57" s="2"/>
      <x:c r="E57" s="4"/>
      <x:c r="F57" s="4"/>
      <x:c r="G57" s="4"/>
      <x:c r="H57" s="4"/>
      <x:c r="I57" s="4"/>
      <x:c r="J57" s="4"/>
      <x:c r="K57" s="4"/>
      <x:c r="L57" s="4"/>
      <x:c r="M57" s="4"/>
    </x:row>
    <x:row r="58" ht="22" customHeight="1">
      <x:c r="A58" s="2"/>
      <x:c r="B58" s="2"/>
      <x:c r="C58" s="2"/>
      <x:c r="D58" s="2"/>
      <x:c r="E58" s="4"/>
      <x:c r="F58" s="4"/>
      <x:c r="G58" s="4"/>
      <x:c r="H58" s="4"/>
      <x:c r="I58" s="4"/>
      <x:c r="J58" s="4"/>
      <x:c r="K58" s="4"/>
      <x:c r="L58" s="4"/>
      <x:c r="M58" s="4"/>
    </x:row>
    <x:row r="59" ht="22" customHeight="1">
      <x:c r="A59" s="2"/>
      <x:c r="B59" s="2"/>
      <x:c r="C59" s="2"/>
      <x:c r="D59" s="2"/>
      <x:c r="E59" s="4"/>
      <x:c r="F59" s="4"/>
      <x:c r="G59" s="4"/>
      <x:c r="H59" s="4"/>
      <x:c r="I59" s="4"/>
      <x:c r="J59" s="4"/>
      <x:c r="K59" s="4"/>
      <x:c r="L59" s="4"/>
      <x:c r="M59" s="4"/>
    </x:row>
    <x:row r="60" ht="22" customHeight="1">
      <x:c r="A60" s="2"/>
      <x:c r="B60" s="2"/>
      <x:c r="C60" s="2"/>
      <x:c r="D60" s="2"/>
      <x:c r="E60" s="4"/>
      <x:c r="F60" s="4"/>
      <x:c r="G60" s="4"/>
      <x:c r="H60" s="4"/>
      <x:c r="I60" s="4"/>
      <x:c r="J60" s="4"/>
      <x:c r="K60" s="4"/>
      <x:c r="L60" s="4"/>
      <x:c r="M60" s="4"/>
    </x:row>
    <x:row r="61" ht="22" customHeight="1">
      <x:c r="A61" s="2"/>
      <x:c r="B61" s="2"/>
      <x:c r="C61" s="2"/>
      <x:c r="D61" s="2"/>
      <x:c r="E61" s="4"/>
      <x:c r="F61" s="4"/>
      <x:c r="G61" s="4"/>
      <x:c r="H61" s="4"/>
      <x:c r="I61" s="4"/>
      <x:c r="J61" s="4"/>
      <x:c r="K61" s="4"/>
      <x:c r="L61" s="4"/>
      <x:c r="M61" s="4"/>
    </x:row>
    <x:row r="62" ht="22" customHeight="1">
      <x:c r="A62" s="2"/>
      <x:c r="B62" s="2"/>
      <x:c r="C62" s="2"/>
      <x:c r="D62" s="2"/>
      <x:c r="E62" s="4"/>
      <x:c r="F62" s="4"/>
      <x:c r="G62" s="4"/>
      <x:c r="H62" s="4"/>
      <x:c r="I62" s="4"/>
      <x:c r="J62" s="4"/>
      <x:c r="K62" s="4"/>
      <x:c r="L62" s="4"/>
      <x:c r="M62" s="4"/>
    </x:row>
    <x:row r="63" ht="22" customHeight="1">
      <x:c r="A63" s="2"/>
      <x:c r="B63" s="2"/>
      <x:c r="C63" s="2"/>
      <x:c r="D63" s="2"/>
      <x:c r="E63" s="4"/>
      <x:c r="F63" s="4"/>
      <x:c r="G63" s="4"/>
      <x:c r="H63" s="4"/>
      <x:c r="I63" s="4"/>
      <x:c r="J63" s="4"/>
      <x:c r="K63" s="4"/>
      <x:c r="L63" s="4"/>
      <x:c r="M63" s="4"/>
    </x:row>
    <x:row r="64" ht="22" customHeight="1">
      <x:c r="A64" s="2"/>
      <x:c r="B64" s="2"/>
      <x:c r="C64" s="2"/>
      <x:c r="D64" s="2"/>
      <x:c r="E64" s="4"/>
      <x:c r="F64" s="4"/>
      <x:c r="G64" s="4"/>
      <x:c r="H64" s="4"/>
      <x:c r="I64" s="4"/>
      <x:c r="J64" s="4"/>
      <x:c r="K64" s="4"/>
      <x:c r="L64" s="4"/>
      <x:c r="M64" s="4"/>
    </x:row>
    <x:row r="65" ht="22" customHeight="1">
      <x:c r="A65" s="2"/>
      <x:c r="B65" s="2"/>
      <x:c r="C65" s="2"/>
      <x:c r="D65" s="2"/>
      <x:c r="E65" s="4"/>
      <x:c r="F65" s="4"/>
      <x:c r="G65" s="4"/>
      <x:c r="H65" s="4"/>
      <x:c r="I65" s="4"/>
      <x:c r="J65" s="4"/>
      <x:c r="K65" s="4"/>
      <x:c r="L65" s="4"/>
      <x:c r="M65" s="4"/>
    </x:row>
    <x:row r="66" ht="22" customHeight="1">
      <x:c r="A66" s="2"/>
      <x:c r="B66" s="2"/>
      <x:c r="C66" s="2"/>
      <x:c r="D66" s="2"/>
      <x:c r="E66" s="4"/>
      <x:c r="F66" s="4"/>
      <x:c r="G66" s="4"/>
      <x:c r="H66" s="4"/>
      <x:c r="I66" s="4"/>
      <x:c r="J66" s="4"/>
      <x:c r="K66" s="4"/>
      <x:c r="L66" s="4"/>
      <x:c r="M66" s="4"/>
    </x:row>
    <x:row r="67" ht="22" customHeight="1">
      <x:c r="A67" s="2"/>
      <x:c r="B67" s="2"/>
      <x:c r="C67" s="2"/>
      <x:c r="D67" s="2"/>
      <x:c r="E67" s="4"/>
      <x:c r="F67" s="4"/>
      <x:c r="G67" s="4"/>
      <x:c r="H67" s="4"/>
      <x:c r="I67" s="4"/>
      <x:c r="J67" s="4"/>
      <x:c r="K67" s="4"/>
      <x:c r="L67" s="4"/>
      <x:c r="M67" s="4"/>
    </x:row>
    <x:row r="68" ht="22" customHeight="1">
      <x:c r="A68" s="2"/>
      <x:c r="B68" s="2"/>
      <x:c r="C68" s="2"/>
      <x:c r="D68" s="2"/>
      <x:c r="E68" s="4"/>
      <x:c r="F68" s="4"/>
      <x:c r="G68" s="4"/>
      <x:c r="H68" s="4"/>
      <x:c r="I68" s="4"/>
      <x:c r="J68" s="4"/>
      <x:c r="K68" s="4"/>
      <x:c r="L68" s="4"/>
      <x:c r="M68" s="4"/>
    </x:row>
    <x:row r="69" ht="22" customHeight="1">
      <x:c r="A69" s="2"/>
      <x:c r="B69" s="2"/>
      <x:c r="C69" s="2"/>
      <x:c r="D69" s="2"/>
      <x:c r="E69" s="4"/>
      <x:c r="F69" s="4"/>
      <x:c r="G69" s="4"/>
      <x:c r="H69" s="4"/>
      <x:c r="I69" s="4"/>
      <x:c r="J69" s="4"/>
      <x:c r="K69" s="4"/>
      <x:c r="L69" s="4"/>
      <x:c r="M69" s="4"/>
    </x:row>
    <x:row r="70" ht="22" customHeight="1">
      <x:c r="A70" s="2"/>
      <x:c r="B70" s="2"/>
      <x:c r="C70" s="2"/>
      <x:c r="D70" s="2"/>
      <x:c r="E70" s="4"/>
      <x:c r="F70" s="4"/>
      <x:c r="G70" s="4"/>
      <x:c r="H70" s="4"/>
      <x:c r="I70" s="4"/>
      <x:c r="J70" s="4"/>
      <x:c r="K70" s="4"/>
      <x:c r="L70" s="4"/>
      <x:c r="M70" s="4"/>
    </x:row>
    <x:row r="71" ht="22" customHeight="1">
      <x:c r="A71" s="2"/>
      <x:c r="B71" s="2"/>
      <x:c r="C71" s="2"/>
      <x:c r="D71" s="2"/>
      <x:c r="E71" s="4"/>
      <x:c r="F71" s="4"/>
      <x:c r="G71" s="4"/>
      <x:c r="H71" s="4"/>
      <x:c r="I71" s="4"/>
      <x:c r="J71" s="4"/>
      <x:c r="K71" s="4"/>
      <x:c r="L71" s="4"/>
      <x:c r="M71" s="4"/>
    </x:row>
    <x:row r="72" ht="22" customHeight="1">
      <x:c r="A72" s="2"/>
      <x:c r="B72" s="2"/>
      <x:c r="C72" s="2"/>
      <x:c r="D72" s="2"/>
      <x:c r="E72" s="4"/>
      <x:c r="F72" s="4"/>
      <x:c r="G72" s="4"/>
      <x:c r="H72" s="4"/>
      <x:c r="I72" s="4"/>
      <x:c r="J72" s="4"/>
      <x:c r="K72" s="4"/>
      <x:c r="L72" s="4"/>
      <x:c r="M72" s="4"/>
    </x:row>
    <x:row r="73" ht="22" customHeight="1">
      <x:c r="A73" s="2"/>
      <x:c r="B73" s="2"/>
      <x:c r="C73" s="2"/>
      <x:c r="D73" s="2"/>
      <x:c r="E73" s="4"/>
      <x:c r="F73" s="4"/>
      <x:c r="G73" s="4"/>
      <x:c r="H73" s="4"/>
      <x:c r="I73" s="4"/>
      <x:c r="J73" s="4"/>
      <x:c r="K73" s="4"/>
      <x:c r="L73" s="4"/>
      <x:c r="M73" s="4"/>
    </x:row>
    <x:row r="74" ht="22" customHeight="1">
      <x:c r="A74" s="2"/>
      <x:c r="B74" s="2"/>
      <x:c r="C74" s="2"/>
      <x:c r="D74" s="2"/>
      <x:c r="E74" s="4"/>
      <x:c r="F74" s="4"/>
      <x:c r="G74" s="4"/>
      <x:c r="H74" s="4"/>
      <x:c r="I74" s="4"/>
      <x:c r="J74" s="4"/>
      <x:c r="K74" s="4"/>
      <x:c r="L74" s="4"/>
      <x:c r="M74" s="4"/>
    </x:row>
    <x:row r="75" ht="22" customHeight="1">
      <x:c r="A75" s="2"/>
      <x:c r="B75" s="2"/>
      <x:c r="C75" s="2"/>
      <x:c r="D75" s="2"/>
      <x:c r="E75" s="4"/>
      <x:c r="F75" s="4"/>
      <x:c r="G75" s="4"/>
      <x:c r="H75" s="4"/>
      <x:c r="I75" s="4"/>
      <x:c r="J75" s="4"/>
      <x:c r="K75" s="4"/>
      <x:c r="L75" s="4"/>
      <x:c r="M75" s="4"/>
    </x:row>
    <x:row r="76" ht="22" customHeight="1">
      <x:c r="A76" s="2"/>
      <x:c r="B76" s="2"/>
      <x:c r="C76" s="2"/>
      <x:c r="D76" s="2"/>
      <x:c r="E76" s="4"/>
      <x:c r="F76" s="4"/>
      <x:c r="G76" s="4"/>
      <x:c r="H76" s="4"/>
      <x:c r="I76" s="4"/>
      <x:c r="J76" s="4"/>
      <x:c r="K76" s="4"/>
      <x:c r="L76" s="4"/>
      <x:c r="M76" s="4"/>
    </x:row>
    <x:row r="77" ht="22" customHeight="1">
      <x:c r="A77" s="2"/>
      <x:c r="B77" s="2"/>
      <x:c r="C77" s="2"/>
      <x:c r="D77" s="2"/>
      <x:c r="E77" s="4"/>
      <x:c r="F77" s="4"/>
      <x:c r="G77" s="4"/>
      <x:c r="H77" s="4"/>
      <x:c r="I77" s="4"/>
      <x:c r="J77" s="4"/>
      <x:c r="K77" s="4"/>
      <x:c r="L77" s="4"/>
      <x:c r="M77" s="4"/>
    </x:row>
    <x:row r="78" ht="22" customHeight="1">
      <x:c r="A78" s="2"/>
      <x:c r="B78" s="2"/>
      <x:c r="C78" s="2"/>
      <x:c r="D78" s="2"/>
      <x:c r="E78" s="4"/>
      <x:c r="F78" s="4"/>
      <x:c r="G78" s="4"/>
      <x:c r="H78" s="4"/>
      <x:c r="I78" s="4"/>
      <x:c r="J78" s="4"/>
      <x:c r="K78" s="4"/>
      <x:c r="L78" s="4"/>
      <x:c r="M78" s="4"/>
    </x:row>
    <x:row r="79" ht="22" customHeight="1">
      <x:c r="A79" s="2"/>
      <x:c r="B79" s="2"/>
      <x:c r="C79" s="2"/>
      <x:c r="D79" s="2"/>
      <x:c r="E79" s="4"/>
      <x:c r="F79" s="4"/>
      <x:c r="G79" s="4"/>
      <x:c r="H79" s="4"/>
      <x:c r="I79" s="4"/>
      <x:c r="J79" s="4"/>
      <x:c r="K79" s="4"/>
      <x:c r="L79" s="4"/>
      <x:c r="M79" s="4"/>
    </x:row>
    <x:row r="80" ht="22" customHeight="1">
      <x:c r="A80" s="2"/>
      <x:c r="B80" s="2"/>
      <x:c r="C80" s="2"/>
      <x:c r="D80" s="2"/>
      <x:c r="E80" s="4"/>
      <x:c r="F80" s="4"/>
      <x:c r="G80" s="4"/>
      <x:c r="H80" s="4"/>
      <x:c r="I80" s="4"/>
      <x:c r="J80" s="4"/>
      <x:c r="K80" s="4"/>
      <x:c r="L80" s="4"/>
      <x:c r="M80" s="4"/>
    </x:row>
    <x:row r="81" ht="22" customHeight="1">
      <x:c r="A81" s="2"/>
      <x:c r="B81" s="2"/>
      <x:c r="C81" s="2"/>
      <x:c r="D81" s="2"/>
      <x:c r="E81" s="4"/>
      <x:c r="F81" s="4"/>
      <x:c r="G81" s="4"/>
      <x:c r="H81" s="4"/>
      <x:c r="I81" s="4"/>
      <x:c r="J81" s="4"/>
      <x:c r="K81" s="4"/>
      <x:c r="L81" s="4"/>
      <x:c r="M81" s="4"/>
    </x:row>
    <x:row r="82" ht="22" customHeight="1">
      <x:c r="A82" s="2"/>
      <x:c r="B82" s="2"/>
      <x:c r="C82" s="2"/>
      <x:c r="D82" s="2"/>
      <x:c r="E82" s="4"/>
      <x:c r="F82" s="4"/>
      <x:c r="G82" s="4"/>
      <x:c r="H82" s="4"/>
      <x:c r="I82" s="4"/>
      <x:c r="J82" s="4"/>
      <x:c r="K82" s="4"/>
      <x:c r="L82" s="4"/>
      <x:c r="M82" s="4"/>
    </x:row>
    <x:row r="83" ht="22" customHeight="1">
      <x:c r="A83" s="2"/>
      <x:c r="B83" s="2"/>
      <x:c r="C83" s="2"/>
      <x:c r="D83" s="2"/>
      <x:c r="E83" s="4"/>
      <x:c r="F83" s="4"/>
      <x:c r="G83" s="4"/>
      <x:c r="H83" s="4"/>
      <x:c r="I83" s="4"/>
      <x:c r="J83" s="4"/>
      <x:c r="K83" s="4"/>
      <x:c r="L83" s="4"/>
      <x:c r="M83" s="4"/>
    </x:row>
    <x:row r="84" ht="22" customHeight="1">
      <x:c r="A84" s="2"/>
      <x:c r="B84" s="2"/>
      <x:c r="C84" s="2"/>
      <x:c r="D84" s="2"/>
      <x:c r="E84" s="4"/>
      <x:c r="F84" s="4"/>
      <x:c r="G84" s="4"/>
      <x:c r="H84" s="4"/>
      <x:c r="I84" s="4"/>
      <x:c r="J84" s="4"/>
      <x:c r="K84" s="4"/>
      <x:c r="L84" s="4"/>
      <x:c r="M84" s="4"/>
    </x:row>
    <x:row r="85" ht="22" customHeight="1">
      <x:c r="A85" s="2"/>
      <x:c r="B85" s="2"/>
      <x:c r="C85" s="2"/>
      <x:c r="D85" s="2"/>
      <x:c r="E85" s="4"/>
      <x:c r="F85" s="4"/>
      <x:c r="G85" s="4"/>
      <x:c r="H85" s="4"/>
      <x:c r="I85" s="4"/>
      <x:c r="J85" s="4"/>
      <x:c r="K85" s="4"/>
      <x:c r="L85" s="4"/>
      <x:c r="M85" s="4"/>
    </x:row>
    <x:row r="86" ht="22" customHeight="1">
      <x:c r="A86" s="2"/>
      <x:c r="B86" s="2"/>
      <x:c r="C86" s="2"/>
      <x:c r="D86" s="2"/>
      <x:c r="E86" s="4"/>
      <x:c r="F86" s="4"/>
      <x:c r="G86" s="4"/>
      <x:c r="H86" s="4"/>
      <x:c r="I86" s="4"/>
      <x:c r="J86" s="4"/>
      <x:c r="K86" s="4"/>
      <x:c r="L86" s="4"/>
      <x:c r="M86" s="4"/>
    </x:row>
    <x:row r="87" ht="22" customHeight="1">
      <x:c r="A87" s="2"/>
      <x:c r="B87" s="2"/>
      <x:c r="C87" s="2"/>
      <x:c r="D87" s="2"/>
      <x:c r="E87" s="4"/>
      <x:c r="F87" s="4"/>
      <x:c r="G87" s="4"/>
      <x:c r="H87" s="4"/>
      <x:c r="I87" s="4"/>
      <x:c r="J87" s="4"/>
      <x:c r="K87" s="4"/>
      <x:c r="L87" s="4"/>
      <x:c r="M87" s="4"/>
    </x:row>
    <x:row r="88" ht="22" customHeight="1">
      <x:c r="A88" s="2"/>
      <x:c r="B88" s="2"/>
      <x:c r="C88" s="2"/>
      <x:c r="D88" s="2"/>
      <x:c r="E88" s="4"/>
      <x:c r="F88" s="4"/>
      <x:c r="G88" s="4"/>
      <x:c r="H88" s="4"/>
      <x:c r="I88" s="4"/>
      <x:c r="J88" s="4"/>
      <x:c r="K88" s="4"/>
      <x:c r="L88" s="4"/>
      <x:c r="M88" s="4"/>
    </x:row>
    <x:row r="89" ht="22" customHeight="1">
      <x:c r="A89" s="2"/>
      <x:c r="B89" s="2"/>
      <x:c r="C89" s="2"/>
      <x:c r="D89" s="2"/>
      <x:c r="E89" s="4"/>
      <x:c r="F89" s="4"/>
      <x:c r="G89" s="4"/>
      <x:c r="H89" s="4"/>
      <x:c r="I89" s="4"/>
      <x:c r="J89" s="4"/>
      <x:c r="K89" s="4"/>
      <x:c r="L89" s="4"/>
      <x:c r="M89" s="4"/>
    </x:row>
    <x:row r="90" ht="22" customHeight="1">
      <x:c r="A90" s="2"/>
      <x:c r="B90" s="2"/>
      <x:c r="C90" s="2"/>
      <x:c r="D90" s="2"/>
      <x:c r="E90" s="4"/>
      <x:c r="F90" s="4"/>
      <x:c r="G90" s="4"/>
      <x:c r="H90" s="4"/>
      <x:c r="I90" s="4"/>
      <x:c r="J90" s="4"/>
      <x:c r="K90" s="4"/>
      <x:c r="L90" s="4"/>
      <x:c r="M90" s="4"/>
    </x:row>
  </x:sheetData>
  <x:pageMargins left="0.7" right="0.7" top="0.75" bottom="0.75" header="0.3" footer="0.3"/>
</x:worksheet>
</file>